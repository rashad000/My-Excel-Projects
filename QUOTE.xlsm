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filterPrivacy="1" codeName="ThisWorkbook" autoCompressPictures="0" defaultThemeVersion="124226"/>
  <xr:revisionPtr revIDLastSave="0" documentId="13_ncr:1_{5BADAF4C-13E6-4A49-A2FC-F2B51E5A006D}" xr6:coauthVersionLast="47" xr6:coauthVersionMax="47" xr10:uidLastSave="{00000000-0000-0000-0000-000000000000}"/>
  <bookViews>
    <workbookView xWindow="14295" yWindow="0" windowWidth="14610" windowHeight="15585" xr2:uid="{00000000-000D-0000-FFFF-FFFF00000000}"/>
  </bookViews>
  <sheets>
    <sheet name="QUOTE" sheetId="1" r:id="rId1"/>
    <sheet name="INVOICE" sheetId="2" r:id="rId2"/>
    <sheet name="DATA" sheetId="3" r:id="rId3"/>
    <sheet name="SEARCH" sheetId="4" r:id="rId4"/>
    <sheet name="SAVED" sheetId="6" r:id="rId5"/>
    <sheet name="ITEMS LIST" sheetId="7" r:id="rId6"/>
  </sheets>
  <functionGroups builtInGroupCount="19"/>
  <definedNames>
    <definedName name="COMPANYNAMES">DATA!$E$2:$E$624</definedName>
    <definedName name="_xlnm.Print_Area" localSheetId="1">INVOICE!$A$1:$N$49</definedName>
    <definedName name="_xlnm.Print_Area" localSheetId="0">QUOTE!$A$1:$H$781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725" i="1" l="1"/>
  <c r="H725" i="1" s="1"/>
  <c r="E711" i="1"/>
  <c r="H711" i="1" s="1"/>
  <c r="E712" i="1"/>
  <c r="H712" i="1" s="1"/>
  <c r="E713" i="1"/>
  <c r="H713" i="1" s="1"/>
  <c r="E714" i="1"/>
  <c r="H714" i="1" s="1"/>
  <c r="E715" i="1"/>
  <c r="H715" i="1" s="1"/>
  <c r="E716" i="1"/>
  <c r="H716" i="1" s="1"/>
  <c r="E717" i="1"/>
  <c r="G717" i="1" s="1"/>
  <c r="E718" i="1"/>
  <c r="H718" i="1" s="1"/>
  <c r="E719" i="1"/>
  <c r="H719" i="1" s="1"/>
  <c r="E720" i="1"/>
  <c r="H720" i="1" s="1"/>
  <c r="E721" i="1"/>
  <c r="H721" i="1" s="1"/>
  <c r="E722" i="1"/>
  <c r="H722" i="1" s="1"/>
  <c r="E723" i="1"/>
  <c r="H723" i="1" s="1"/>
  <c r="E724" i="1"/>
  <c r="H724" i="1" s="1"/>
  <c r="E726" i="1"/>
  <c r="H726" i="1" s="1"/>
  <c r="E727" i="1"/>
  <c r="H727" i="1" s="1"/>
  <c r="E728" i="1"/>
  <c r="H728" i="1" s="1"/>
  <c r="E729" i="1"/>
  <c r="H729" i="1" s="1"/>
  <c r="E730" i="1"/>
  <c r="H730" i="1" s="1"/>
  <c r="B2" i="7"/>
  <c r="B3" i="7"/>
  <c r="B4" i="7"/>
  <c r="B5" i="7"/>
  <c r="B6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1" i="7"/>
  <c r="B10" i="2"/>
  <c r="G729" i="1" l="1"/>
  <c r="H717" i="1"/>
  <c r="G730" i="1"/>
  <c r="G728" i="1"/>
  <c r="G727" i="1"/>
  <c r="G724" i="1"/>
  <c r="G723" i="1"/>
  <c r="G722" i="1"/>
  <c r="G721" i="1"/>
  <c r="G720" i="1"/>
  <c r="G719" i="1"/>
  <c r="G725" i="1"/>
  <c r="G718" i="1"/>
  <c r="G726" i="1"/>
  <c r="G716" i="1"/>
  <c r="G714" i="1"/>
  <c r="G713" i="1"/>
  <c r="G712" i="1"/>
  <c r="G715" i="1"/>
  <c r="G711" i="1"/>
  <c r="B6" i="1"/>
  <c r="B5" i="1"/>
  <c r="B4" i="1"/>
  <c r="A731" i="1" l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03" i="1"/>
  <c r="A704" i="1" s="1"/>
  <c r="A705" i="1" s="1"/>
  <c r="A706" i="1" s="1"/>
  <c r="A707" i="1" s="1"/>
  <c r="A709" i="1" s="1"/>
  <c r="A710" i="1" s="1"/>
  <c r="A711" i="1" s="1"/>
  <c r="A712" i="1" s="1"/>
  <c r="A713" i="1" s="1"/>
  <c r="A715" i="1" s="1"/>
  <c r="A716" i="1" s="1"/>
  <c r="A717" i="1" s="1"/>
  <c r="A718" i="1" s="1"/>
  <c r="A719" i="1" s="1"/>
  <c r="A720" i="1" s="1"/>
  <c r="A721" i="1" s="1"/>
  <c r="A722" i="1" s="1"/>
  <c r="A723" i="1" s="1"/>
  <c r="A724" i="1" s="1"/>
  <c r="A725" i="1" s="1"/>
  <c r="A726" i="1" s="1"/>
  <c r="A727" i="1" s="1"/>
  <c r="A728" i="1" s="1"/>
  <c r="A729" i="1" s="1"/>
  <c r="A730" i="1" s="1"/>
  <c r="E705" i="1"/>
  <c r="G705" i="1" s="1"/>
  <c r="E706" i="1"/>
  <c r="G706" i="1" s="1"/>
  <c r="E707" i="1"/>
  <c r="G707" i="1" s="1"/>
  <c r="D7" i="4" l="1" a="1"/>
  <c r="D7" i="4" s="1"/>
  <c r="J13" i="2" l="1"/>
  <c r="G13" i="2"/>
  <c r="F13" i="2"/>
  <c r="A13" i="2"/>
  <c r="C6" i="2"/>
  <c r="L8" i="2" s="1"/>
  <c r="C9" i="2"/>
  <c r="E710" i="1" l="1"/>
  <c r="H710" i="1" s="1"/>
  <c r="E743" i="1"/>
  <c r="H743" i="1" s="1"/>
  <c r="E703" i="1"/>
  <c r="E704" i="1"/>
  <c r="H707" i="1"/>
  <c r="E708" i="1"/>
  <c r="H708" i="1" s="1"/>
  <c r="E709" i="1"/>
  <c r="H709" i="1" s="1"/>
  <c r="E702" i="1"/>
  <c r="H13" i="2" s="1"/>
  <c r="I13" i="2" s="1"/>
  <c r="K13" i="2" s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12" i="1"/>
  <c r="G702" i="1" l="1"/>
  <c r="H702" i="1" s="1"/>
  <c r="G743" i="1"/>
  <c r="G710" i="1"/>
  <c r="G709" i="1"/>
  <c r="G708" i="1"/>
  <c r="H706" i="1"/>
  <c r="H705" i="1"/>
  <c r="G704" i="1"/>
  <c r="H704" i="1" s="1"/>
  <c r="G703" i="1"/>
  <c r="H703" i="1" s="1"/>
  <c r="M13" i="2"/>
  <c r="N13" i="2" s="1"/>
  <c r="H744" i="1" l="1"/>
  <c r="H746" i="1" s="1"/>
  <c r="H747" i="1" l="1"/>
  <c r="H748" i="1" s="1"/>
  <c r="A12" i="2"/>
  <c r="C8" i="2"/>
  <c r="N8" i="2"/>
  <c r="A749" i="1" a="1"/>
  <c r="A749" i="1" l="1"/>
  <c r="N43" i="2"/>
  <c r="N44" i="2" s="1"/>
  <c r="N45" i="2" s="1"/>
  <c r="A44" i="2" a="1"/>
  <c r="A44" i="2" l="1"/>
  <c r="C7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<sst xmlns="http://schemas.openxmlformats.org/spreadsheetml/2006/main" count="1208" uniqueCount="1115">
  <si>
    <t xml:space="preserve">Dear Sir, </t>
  </si>
  <si>
    <t xml:space="preserve">Thanking you for your enquiry, we are pleased to submit our best offer for your kind consideration: </t>
  </si>
  <si>
    <t>Qty</t>
  </si>
  <si>
    <t>Days</t>
  </si>
  <si>
    <t>TERMS &amp; CONDITIONS:</t>
  </si>
  <si>
    <t>Bank details:</t>
  </si>
  <si>
    <t>Company Name: MEDIA MANIA FZ LLC</t>
  </si>
  <si>
    <t xml:space="preserve">Bank Name: EMIRATES NBD – U.A.E </t>
  </si>
  <si>
    <t>Bank Branch: Al Muroor Branch, Abu Dhabi-U.A.E</t>
  </si>
  <si>
    <t>Swift Code: EBILAEAD</t>
  </si>
  <si>
    <t>For Media Mania FZ LLC</t>
  </si>
  <si>
    <t>Quotation</t>
  </si>
  <si>
    <t>Roland Daou (Director)</t>
  </si>
  <si>
    <t>T:+971 50 497 1564</t>
  </si>
  <si>
    <t>E:roland@mediamania.tv</t>
  </si>
  <si>
    <t>S.no</t>
  </si>
  <si>
    <t>Per Day Cost</t>
  </si>
  <si>
    <t>Total Price / AED</t>
  </si>
  <si>
    <t>TOTAL COST</t>
  </si>
  <si>
    <t xml:space="preserve">TRN - 100289675900003       VAT 5% </t>
  </si>
  <si>
    <t>Final COST</t>
  </si>
  <si>
    <t>1. 50% of Payment must be paid in advance on signing and approval. (TT/Cheque)</t>
  </si>
  <si>
    <t>2. Balance 50% of Payment must be paid on delivery of our Invoice. (TT/Cheque)</t>
  </si>
  <si>
    <t>3. 50% of the amount will be charge able for any cancellation of the booking after giving the approval. (TT/Cheque)</t>
  </si>
  <si>
    <t>4. After Approval any Extra days and other Extra equipments will be charged separately.</t>
  </si>
  <si>
    <t xml:space="preserve">AE97 0260 0010 1417 6021 501                         </t>
  </si>
  <si>
    <t xml:space="preserve">AE08 0260 0010 2417 6021 502                          </t>
  </si>
  <si>
    <t>Resolution of dispute, if any:</t>
  </si>
  <si>
    <t>Once the proposal is accepted, it will be subject to the laws of the United Arab Emirates.</t>
  </si>
  <si>
    <t>If a dispute between the client and the company should arise, the situation will be resolved as per UAE Law.</t>
  </si>
  <si>
    <t>Thank you for your corporation and understanding.</t>
  </si>
  <si>
    <t xml:space="preserve">Any failure or delay in making timely payments in accordance with this agreement entitles Media Mania to terminate this </t>
  </si>
  <si>
    <t>agreement immediately and to lease all activity without any further notice</t>
  </si>
  <si>
    <t xml:space="preserve">In the event of any unresolved dispute, the matter shall be referred for settlement at the appropriate court of the </t>
  </si>
  <si>
    <t>United Arab Emirates. In a contract which is diglot (i.e. in English &amp;Arabic), the Arabic version shall prevail.</t>
  </si>
  <si>
    <t xml:space="preserve">Should the above conditions be acceptable to you, kindly issue a Local Purchase order for the amount indicated to </t>
  </si>
  <si>
    <t>the following address:</t>
  </si>
  <si>
    <t>TAX INVOICE</t>
  </si>
  <si>
    <t>MEDIA MANIA FZ LLC</t>
  </si>
  <si>
    <t>Twfour 54 Building 2,Office No #404,Floor 4th, Phone 02-4012850, Fax 2-4011850, Email:accountant@mediamania.tv</t>
  </si>
  <si>
    <t>VAT Registration # 100289675900003</t>
  </si>
  <si>
    <t>Customer Details</t>
  </si>
  <si>
    <t>Invoice #</t>
  </si>
  <si>
    <t>Date</t>
  </si>
  <si>
    <t>Company Name:</t>
  </si>
  <si>
    <t>Street Address :</t>
  </si>
  <si>
    <t>Due Date</t>
  </si>
  <si>
    <t>Phone:</t>
  </si>
  <si>
    <t>Email:</t>
  </si>
  <si>
    <t xml:space="preserve">Qtn no# </t>
  </si>
  <si>
    <t>Description</t>
  </si>
  <si>
    <t>Unit Price</t>
  </si>
  <si>
    <t>Total Amout</t>
  </si>
  <si>
    <t>Discount</t>
  </si>
  <si>
    <t>Total Amount After Discount</t>
  </si>
  <si>
    <t>VAT %</t>
  </si>
  <si>
    <t>VAT Amount</t>
  </si>
  <si>
    <t>Total Amount Inc VAT</t>
  </si>
  <si>
    <t>Amount in Words:</t>
  </si>
  <si>
    <t>Total Amount Before VAT</t>
  </si>
  <si>
    <t>VAT</t>
  </si>
  <si>
    <t>Total Amount After VAT</t>
  </si>
  <si>
    <t>Company Name: MEDIA MANIA FZ LLC
Bank Name : EMIRATES NBD – U.A.E 
Bank Branch: Al Muroor Branch, Abu Dhabi-U.A.E
IBAN AED - AE97 0260 0010 1417 6021 501
IBAN USD - AE08 0260 0010 2417 6021 502
Swift Code: EBILAEAD</t>
  </si>
  <si>
    <t>Terms and Conditions:As per Service Agreement</t>
  </si>
  <si>
    <t>Thank you for doing business with us.</t>
  </si>
  <si>
    <t>Company Seal</t>
  </si>
  <si>
    <t>Auth. Signatory</t>
  </si>
  <si>
    <t>100480452000003</t>
  </si>
  <si>
    <t>Amount after Discount</t>
  </si>
  <si>
    <t>DIGITAL FARM MARKETING CONSULTANCY - L.L.C - S.P.C</t>
  </si>
  <si>
    <t>Unit 1Sa, Building One, Yas Marina, Yas Island, Abu Dhabi, 145688, Abu Dhabi</t>
  </si>
  <si>
    <t>+971569900117</t>
  </si>
  <si>
    <t>ROLES</t>
  </si>
  <si>
    <t>AMOUNT</t>
  </si>
  <si>
    <t xml:space="preserve">100 KVA  Silent Generator with Truck </t>
  </si>
  <si>
    <t xml:space="preserve">12x12 Butterfly / Fabrics </t>
  </si>
  <si>
    <t xml:space="preserve">150 KVA Super Silent Generator with Truck </t>
  </si>
  <si>
    <t>19-Inch Dual Conference Prompter Set</t>
  </si>
  <si>
    <t>2 BAD LED</t>
  </si>
  <si>
    <t xml:space="preserve">20x20 Butterfly / Fabrics </t>
  </si>
  <si>
    <t>4 BAD LED</t>
  </si>
  <si>
    <t xml:space="preserve">4x4 Butterfly / Fabrics </t>
  </si>
  <si>
    <t>575 Sbring ball HMI</t>
  </si>
  <si>
    <t xml:space="preserve">6.5 KVA Generator </t>
  </si>
  <si>
    <t xml:space="preserve">8x8 Butterfly / Fabrics </t>
  </si>
  <si>
    <t xml:space="preserve">Angenieux Optimo 24 – 290mm </t>
  </si>
  <si>
    <t>Angenieux Optimo lens 30-76 mm</t>
  </si>
  <si>
    <t xml:space="preserve">Angenieux Type EZ1 – 30 – 90mm </t>
  </si>
  <si>
    <t xml:space="preserve">Angenieux Type EZ2 – 14 – 40mm </t>
  </si>
  <si>
    <t>Apple box</t>
  </si>
  <si>
    <t>Aputure Lantern 90</t>
  </si>
  <si>
    <t>Aputure Light 300</t>
  </si>
  <si>
    <t>Aputure Light Dome SE, 33.5″ (85cm)</t>
  </si>
  <si>
    <t>Aputure Light Storm LS 1200</t>
  </si>
  <si>
    <t>Aputure Light Storm LS 600</t>
  </si>
  <si>
    <t xml:space="preserve">Aputure Light Storm LS C300D II LED </t>
  </si>
  <si>
    <t>Arri 1.2K HMI (D12) fresnel</t>
  </si>
  <si>
    <t>Arri 1.2K T. Fresnel</t>
  </si>
  <si>
    <t>Arri 10K T. Halogen fresnel</t>
  </si>
  <si>
    <t xml:space="preserve">Arri 10K Tungsten </t>
  </si>
  <si>
    <t>Arri 12K D HMI fresnel</t>
  </si>
  <si>
    <t>Arri 12K T. fresnel</t>
  </si>
  <si>
    <t>ARRI 12mm Master Prime Lens (PL LDS, Feet)</t>
  </si>
  <si>
    <t>Arri 18K HMI fresnel</t>
  </si>
  <si>
    <t xml:space="preserve">Arri 1K Tungsten </t>
  </si>
  <si>
    <t>Arri 2.5K HMI fresnel</t>
  </si>
  <si>
    <t>Arri 2.5K Sun HMI fresnel</t>
  </si>
  <si>
    <t>Arri 4K HMI fresnel</t>
  </si>
  <si>
    <t>Arri 4K Sun HMI fresnel</t>
  </si>
  <si>
    <t>Arri 575 HMI fresnel</t>
  </si>
  <si>
    <t>Arri 5K T. Halogen fresnel</t>
  </si>
  <si>
    <t xml:space="preserve">Arri 650 T. Kit </t>
  </si>
  <si>
    <t>Arri 6K HMI fresnel</t>
  </si>
  <si>
    <t>Arri 6K Sun HMI fresnel</t>
  </si>
  <si>
    <t>ARRI ALEXA 35</t>
  </si>
  <si>
    <t>ARRI ALEXA Mini LF</t>
  </si>
  <si>
    <t>Arri Arrimax 18/12 HMI fresnel</t>
  </si>
  <si>
    <t xml:space="preserve">Arri L7-C </t>
  </si>
  <si>
    <t>ARRI LMB 4x5 Matte Box 15mm LWS Pro Set</t>
  </si>
  <si>
    <t>ARRi Locoster LED</t>
  </si>
  <si>
    <t>Arri M18 H.S fresnel</t>
  </si>
  <si>
    <t>Arri M18 HMI fresnel</t>
  </si>
  <si>
    <t>Arri M40 fresnel</t>
  </si>
  <si>
    <t>Arri M40 HMI fresnel</t>
  </si>
  <si>
    <t>Arri M8 Fresnel</t>
  </si>
  <si>
    <t>Arri M8 HMI fresnel</t>
  </si>
  <si>
    <t>Arri M90 HMI fresnel</t>
  </si>
  <si>
    <t xml:space="preserve">Arri Master Prime Macro Lens – 100mm </t>
  </si>
  <si>
    <t>ARRI Matte Box LMB 4x5</t>
  </si>
  <si>
    <t>ARRI Matte Box LMB 6x6</t>
  </si>
  <si>
    <t xml:space="preserve">Arri Orbiter </t>
  </si>
  <si>
    <t>Arri Orbiter Chimera</t>
  </si>
  <si>
    <t xml:space="preserve">Arri Pocket Par 400W </t>
  </si>
  <si>
    <t xml:space="preserve">Arri Pocket Par 400W Chimera </t>
  </si>
  <si>
    <t xml:space="preserve">Arri Signature Primes Lens Kit – 18,25,35,47,75,125mm </t>
  </si>
  <si>
    <t>Arri Skypanel S120-C</t>
  </si>
  <si>
    <t>Arri Skypanel S30-C</t>
  </si>
  <si>
    <t xml:space="preserve">Arri Skypanel S360-C </t>
  </si>
  <si>
    <t>Arri Skypanel S60-C</t>
  </si>
  <si>
    <t xml:space="preserve">Arri T2 </t>
  </si>
  <si>
    <t xml:space="preserve">Arri T5 </t>
  </si>
  <si>
    <t>Arri WCU4 Wireless Focus</t>
  </si>
  <si>
    <t>Art Director</t>
  </si>
  <si>
    <t>Art Director Assistant</t>
  </si>
  <si>
    <t>Assistant Director</t>
  </si>
  <si>
    <t>Assistant Director (1st AD)</t>
  </si>
  <si>
    <t>Assistant Producer</t>
  </si>
  <si>
    <t>Assistant Sound Engineer</t>
  </si>
  <si>
    <t>ASTERA 2M</t>
  </si>
  <si>
    <t xml:space="preserve">ASTERA AX10 </t>
  </si>
  <si>
    <t>ASTERA AX2 100sm</t>
  </si>
  <si>
    <t>ASTERA AX2 50sm</t>
  </si>
  <si>
    <t>ASTERA AX3</t>
  </si>
  <si>
    <t>ASTERA AX5</t>
  </si>
  <si>
    <t>ASTERA AX9</t>
  </si>
  <si>
    <t xml:space="preserve">ASTERA bulbs set of 6, with batteries </t>
  </si>
  <si>
    <t xml:space="preserve">ASTERA Helios Tubes Kit (8 Tubes) – 60cm </t>
  </si>
  <si>
    <t xml:space="preserve">ASTERA Hybrid 9K </t>
  </si>
  <si>
    <t>ASTERA NYXE</t>
  </si>
  <si>
    <t xml:space="preserve">ASTERA Titan Tubes Kit (8 Tubes) – 120cm </t>
  </si>
  <si>
    <t>Atomos 20''</t>
  </si>
  <si>
    <t>Atomos 9''</t>
  </si>
  <si>
    <t xml:space="preserve">Atomos Sumo Recorder 19” </t>
  </si>
  <si>
    <t>Auto Cue</t>
  </si>
  <si>
    <t>Auto-cue Operator (Teleprompter)</t>
  </si>
  <si>
    <t>Balon 1800 HMI</t>
  </si>
  <si>
    <t>Balon 40 HMI</t>
  </si>
  <si>
    <t>Balon 6/9 HMI</t>
  </si>
  <si>
    <t>Bar LED</t>
  </si>
  <si>
    <t>Batteries</t>
  </si>
  <si>
    <t>Best Boy Electric - Lighting Assistant</t>
  </si>
  <si>
    <t>Best Boy Grip</t>
  </si>
  <si>
    <t>BIG REFLECTOR</t>
  </si>
  <si>
    <t>Black Stand</t>
  </si>
  <si>
    <t>Blackmagic URSA Mini Pro</t>
  </si>
  <si>
    <t>BOKET LED</t>
  </si>
  <si>
    <t>Boom Arm Small</t>
  </si>
  <si>
    <t xml:space="preserve">Boom Operator </t>
  </si>
  <si>
    <t>Boom Stand Big</t>
  </si>
  <si>
    <t>Boom Stand Small</t>
  </si>
  <si>
    <t>BOOM LIGHT STAND</t>
  </si>
  <si>
    <t>Brexel Breke LED</t>
  </si>
  <si>
    <t>C Stand</t>
  </si>
  <si>
    <t>Calligrapher</t>
  </si>
  <si>
    <t>Camera Assistant (2nd AC)</t>
  </si>
  <si>
    <t>Camera Control Unit - CCU</t>
  </si>
  <si>
    <t>Camera Helper</t>
  </si>
  <si>
    <t>Camera Operator</t>
  </si>
  <si>
    <t>Camera Va (Abu Dhabi)</t>
  </si>
  <si>
    <t>Cameraman</t>
  </si>
  <si>
    <t>Cameraman Assistant</t>
  </si>
  <si>
    <t>Canon C300 MII</t>
  </si>
  <si>
    <t>Canon C300 MIII</t>
  </si>
  <si>
    <t>Canon EF 16-35mm f/2.8L III USM Lens</t>
  </si>
  <si>
    <t>Canon EF 24-105mm f/4L IS II USM Lens</t>
  </si>
  <si>
    <t>Canon EF 24-70mm f/2.8L II USM Lens</t>
  </si>
  <si>
    <t>Canon EF 35mm f/1.4L II USM Lens</t>
  </si>
  <si>
    <t>Canon EF 400mm f/4 DO IS II USM Lens</t>
  </si>
  <si>
    <t>Canon EF 50mm f/1.8 STM Lens</t>
  </si>
  <si>
    <t>Canon EF 70-300mm f/4-5.6 IS II USM Lens</t>
  </si>
  <si>
    <t>Canon EF 8-15mm f/4L Fisheye USM Lens</t>
  </si>
  <si>
    <t>Canon EF 85mm f/1.8 USM Lens</t>
  </si>
  <si>
    <t>Canon EF-S 24mm f/2.8 STM Lens</t>
  </si>
  <si>
    <t xml:space="preserve">Canon K35 Lens Kit – 18,24,35,55,85mm </t>
  </si>
  <si>
    <t>Canon RF 100-400mm f/5.6-8 IS USM Lens</t>
  </si>
  <si>
    <t>Canon RF 100mm f/2.8 L Macro IS USM Lens</t>
  </si>
  <si>
    <t>Canon RF 135mm f/1.8 L IS USM Lens</t>
  </si>
  <si>
    <t>Canon RF 5.2mm f/2.8 L Dual Fisheye 3D VR Lens</t>
  </si>
  <si>
    <t>Canon RF 70-200mm f/2.8 L IS USM Lens</t>
  </si>
  <si>
    <t>Canon RF-S 10-18mm f/4.5-6.3 IS STM Lens</t>
  </si>
  <si>
    <t>Canon TS-E 24mm f/3.5L II Tilt-Shift Lens</t>
  </si>
  <si>
    <t>Canon TS-E 45mm f/2.8 Tilt Shift Lens</t>
  </si>
  <si>
    <t>Canon TS-E 50mm f/2.8L Macro Tilt-Shift Lens</t>
  </si>
  <si>
    <t>Canon TS-E 90mm f/2.8L Macro Tilt-Shift Lens</t>
  </si>
  <si>
    <t xml:space="preserve">Cartoni Focus 10 Tripod + Head </t>
  </si>
  <si>
    <t xml:space="preserve">Cartoni Focus 18 Tripod + Head </t>
  </si>
  <si>
    <t xml:space="preserve">Cartoni Head Master 30 + Tall &amp; Short Leg </t>
  </si>
  <si>
    <t xml:space="preserve">Cartoni Head Master MK2 + Tall &amp; Short Leg </t>
  </si>
  <si>
    <t xml:space="preserve">Cartoni Lambda Head – 2 Axis </t>
  </si>
  <si>
    <t xml:space="preserve">Cartoni Lambda Head – 3 Axis </t>
  </si>
  <si>
    <t>Casting Director</t>
  </si>
  <si>
    <t>Chroma</t>
  </si>
  <si>
    <t xml:space="preserve">Cine Saddle Bag </t>
  </si>
  <si>
    <t>Clearcom freespeak upto 8 units with base wireless</t>
  </si>
  <si>
    <t>Colorist</t>
  </si>
  <si>
    <t>Combo Stand Big</t>
  </si>
  <si>
    <t>Combo Stand Small</t>
  </si>
  <si>
    <t>Cooke 100mm T2.3 Anamorphic/i Prime Lens (PL Mount)</t>
  </si>
  <si>
    <t>Cooke 135mm T2.3 Anamorphic/i SF Prime Lens (PL Mount)</t>
  </si>
  <si>
    <t>Cooke 180mm Anamorphic/i 1.8x Full Frame SF Prime Lens (PL)</t>
  </si>
  <si>
    <t>Cooke 25mm T2.3 Anamorphic/i Prime Lens (PL Mount)</t>
  </si>
  <si>
    <t>Cooke 25mm T2.3 Anamorphic/i SF Prime Lens (PL Mount)</t>
  </si>
  <si>
    <t>Cooke 32mm T2.3 Anamorphic/i Prime Lens (PL Mount)</t>
  </si>
  <si>
    <t>Cooke 40mm T2.3 Anamorphic/i Prime Lens (PL Mount)</t>
  </si>
  <si>
    <t>Cooke 50mm T2.3 Anamorphic/i SF Prime Lens (PL Mount)</t>
  </si>
  <si>
    <t>Cooke 65mm T2.6 Macro 1:4.1 Anamorphic/i SF Prime Lens (PL Mount)</t>
  </si>
  <si>
    <t>Cooke 75mm T2.3 Anamorphic/i Prime Lens (PL Mount)</t>
  </si>
  <si>
    <t xml:space="preserve">Cooke S4 Mini Lens Kit – 18,25,32,50,75,100mm </t>
  </si>
  <si>
    <t>Cooke S7/i Full Frame Kit – (16,18,21, 25, 27, 32, 40, 50, 65, 75, 100 and 135, 180mm)</t>
  </si>
  <si>
    <t>Cooke S8/i Full Frame Kit – (18, 25, 27, 32, 35, 40, 50, 65, 75, 100 and 135mm)</t>
  </si>
  <si>
    <t>Cooke SP3 Full-Frame 5-Lens Prime Set (25/32/50/75/100mm, Sony E)</t>
  </si>
  <si>
    <t>Copywriter Ar</t>
  </si>
  <si>
    <t>Copywriter Eng</t>
  </si>
  <si>
    <t>Corporate Photographer</t>
  </si>
  <si>
    <t xml:space="preserve">Corporate Photographer With Edited Images </t>
  </si>
  <si>
    <t>CREAM SORCS 4 LED</t>
  </si>
  <si>
    <t>CREAM SORCS 8 LED</t>
  </si>
  <si>
    <t>CREAM SORCS MICRO LED</t>
  </si>
  <si>
    <t>Creative Copywriter Ar</t>
  </si>
  <si>
    <t>Creative Copywriter En</t>
  </si>
  <si>
    <t>Creative Director</t>
  </si>
  <si>
    <t>Creative Director (ART)</t>
  </si>
  <si>
    <t>Creative Director (Copy)</t>
  </si>
  <si>
    <t>Cstand</t>
  </si>
  <si>
    <t>Dana Dolly Portable Dolly System with eMotimo 1-2-3 m</t>
  </si>
  <si>
    <t>DeDo 100 Kit</t>
  </si>
  <si>
    <t xml:space="preserve">Dedo 150 Kit </t>
  </si>
  <si>
    <t>DeDo LED</t>
  </si>
  <si>
    <t>DeDo LED By Color</t>
  </si>
  <si>
    <t>DeDo LED By colour</t>
  </si>
  <si>
    <t>DEVA 200</t>
  </si>
  <si>
    <t>DEVA 400</t>
  </si>
  <si>
    <t xml:space="preserve">DEVA 60 </t>
  </si>
  <si>
    <t>Dezezty 2.5k</t>
  </si>
  <si>
    <t>Dialogue Editor</t>
  </si>
  <si>
    <t>Digital Imaging Technicians - DIT</t>
  </si>
  <si>
    <t>Digital Media Archivist</t>
  </si>
  <si>
    <t>Dimer 30K</t>
  </si>
  <si>
    <t>Dimer 5K</t>
  </si>
  <si>
    <t>Dimer DMX12</t>
  </si>
  <si>
    <t>Director</t>
  </si>
  <si>
    <t>Director of Photography</t>
  </si>
  <si>
    <t>DIT Equipment</t>
  </si>
  <si>
    <t>DJI Air 3 Fly More Combo (DJI RC 2)</t>
  </si>
  <si>
    <t>DJI AVATA PRO-VIEW COMBO (DJI GOGGLES 2)</t>
  </si>
  <si>
    <t>DJI Inspire 3 Combo with X9</t>
  </si>
  <si>
    <t>DJI Mavic 3 Pro Cine Premium Combo</t>
  </si>
  <si>
    <t xml:space="preserve">DJI Osmo Action 4 Adventure </t>
  </si>
  <si>
    <t xml:space="preserve">DJI Ronin 2 </t>
  </si>
  <si>
    <t xml:space="preserve">DJI Ronin S2 </t>
  </si>
  <si>
    <t xml:space="preserve">DJI Ronin S3 </t>
  </si>
  <si>
    <t>DJI RS 4 Pro Combo</t>
  </si>
  <si>
    <t xml:space="preserve">DMG Lumiere Mini Mix </t>
  </si>
  <si>
    <t xml:space="preserve">DMG SL1 Switch + Chimera </t>
  </si>
  <si>
    <t>Dolly Assistant</t>
  </si>
  <si>
    <t>Dolly Grip</t>
  </si>
  <si>
    <t>Dolly Tripod Small</t>
  </si>
  <si>
    <t>DOP Cameraman</t>
  </si>
  <si>
    <t>Double mix max LED</t>
  </si>
  <si>
    <t>Drone Operator</t>
  </si>
  <si>
    <t>DYNO 1200</t>
  </si>
  <si>
    <t>DYNO 650</t>
  </si>
  <si>
    <t xml:space="preserve">Easy Rig Vario 2.5 </t>
  </si>
  <si>
    <t>Easyrig Vario 5 + Gimbal Vest + Support Arm</t>
  </si>
  <si>
    <t>Emirati Adults 18 years and older</t>
  </si>
  <si>
    <t>Emirati Children - 1 year through 12 years</t>
  </si>
  <si>
    <t>Emirati Older Adults - 65 and older</t>
  </si>
  <si>
    <t>Emirati Sniors Adults - 65 and older</t>
  </si>
  <si>
    <t>Emirati Youth - 13 years through 17 years</t>
  </si>
  <si>
    <t xml:space="preserve">Event Photographer </t>
  </si>
  <si>
    <t xml:space="preserve">Event Photographer With Edited Images </t>
  </si>
  <si>
    <t>Executive Producer</t>
  </si>
  <si>
    <t>Expatriate Adults 18 years and older</t>
  </si>
  <si>
    <t>Expatriate Children - 1 year through 12 years</t>
  </si>
  <si>
    <t>Expatriate Older Adults - 65 and older</t>
  </si>
  <si>
    <t>Expatriate Sniors Adults - 65 and older</t>
  </si>
  <si>
    <t>Expatriate Youth - 13 years through 17 years</t>
  </si>
  <si>
    <t>Extention Bar</t>
  </si>
  <si>
    <t>Flag Set of 3 Big</t>
  </si>
  <si>
    <t>Flag set of 3 small</t>
  </si>
  <si>
    <t>Flexbol 120 LED</t>
  </si>
  <si>
    <t>Flexbol BIG LED</t>
  </si>
  <si>
    <t>Flexbol Small  LED</t>
  </si>
  <si>
    <t>Floor Manager</t>
  </si>
  <si>
    <t>Focus Puller (1st AC)</t>
  </si>
  <si>
    <t>Forza 300 LED</t>
  </si>
  <si>
    <t>Forza 500 LED</t>
  </si>
  <si>
    <t>Forza 60 LED</t>
  </si>
  <si>
    <t>FPV Operator</t>
  </si>
  <si>
    <t>FREE STYLE 120 LED</t>
  </si>
  <si>
    <t xml:space="preserve">FREE STYLE 30 LED </t>
  </si>
  <si>
    <t>FREE STYLE 60 LED</t>
  </si>
  <si>
    <t>FREE STYLE 90 LED</t>
  </si>
  <si>
    <t xml:space="preserve">Freefly Movi Pro </t>
  </si>
  <si>
    <t xml:space="preserve">Freefly Movi XL </t>
  </si>
  <si>
    <t>Fujinon Promista Lens 19-45</t>
  </si>
  <si>
    <t>Fujinon Promista Lens 8-250</t>
  </si>
  <si>
    <t>Fujion Promista lens 28-100</t>
  </si>
  <si>
    <t>Gaffer - Chief Lighting Technician</t>
  </si>
  <si>
    <t xml:space="preserve">Gel Box </t>
  </si>
  <si>
    <t xml:space="preserve">GFM High Hat </t>
  </si>
  <si>
    <t xml:space="preserve">GFM Mini Jib Arm </t>
  </si>
  <si>
    <t xml:space="preserve">GFM Secondo Dolly + Straight &amp; Curved Tracks </t>
  </si>
  <si>
    <t xml:space="preserve">GFM Slider 2 meters </t>
  </si>
  <si>
    <t xml:space="preserve">GFM Slider 70cm </t>
  </si>
  <si>
    <t>GO 150 LED</t>
  </si>
  <si>
    <t>GO 260 LED</t>
  </si>
  <si>
    <t>GO 280 LED</t>
  </si>
  <si>
    <t>GO 520 LED</t>
  </si>
  <si>
    <t>Gobo Head Big</t>
  </si>
  <si>
    <t xml:space="preserve">GODOX AD600PRO </t>
  </si>
  <si>
    <t>GODOX P120 SOFTBOX</t>
  </si>
  <si>
    <t>GODOX P90 SOFTBOX</t>
  </si>
  <si>
    <t>GoPro HERO12</t>
  </si>
  <si>
    <t>GoPro Max</t>
  </si>
  <si>
    <t xml:space="preserve">Graphic Designer </t>
  </si>
  <si>
    <t>Graphic Designer Senior</t>
  </si>
  <si>
    <t>Grip</t>
  </si>
  <si>
    <t>Grip Assistant</t>
  </si>
  <si>
    <t>Grip Box</t>
  </si>
  <si>
    <t xml:space="preserve">Grip Box </t>
  </si>
  <si>
    <t xml:space="preserve">Grip Tech Vibration Isolator </t>
  </si>
  <si>
    <t xml:space="preserve">Grip Tech VVI Light Shock Absorber </t>
  </si>
  <si>
    <t xml:space="preserve">Hair Stylist </t>
  </si>
  <si>
    <t>Hair Stylist Assistant</t>
  </si>
  <si>
    <t>Hollyland Up to 8 units with base wireless</t>
  </si>
  <si>
    <t>Holyland 4k</t>
  </si>
  <si>
    <t>Hydrolic Panther Dolly</t>
  </si>
  <si>
    <t xml:space="preserve">Ice Light Kit </t>
  </si>
  <si>
    <t xml:space="preserve">IDS Indie Slider </t>
  </si>
  <si>
    <t>Ifootage Motorized Slider</t>
  </si>
  <si>
    <t>illustrator</t>
  </si>
  <si>
    <t>Infographic Animator</t>
  </si>
  <si>
    <t>Infographic Designer</t>
  </si>
  <si>
    <t>Intercom (eartec)</t>
  </si>
  <si>
    <t xml:space="preserve">Jem Ball 500/1000W </t>
  </si>
  <si>
    <t xml:space="preserve">Jimmy Jib Operator </t>
  </si>
  <si>
    <t xml:space="preserve">Jimmy Jib Triangle </t>
  </si>
  <si>
    <t xml:space="preserve">Kamio 6E Kit </t>
  </si>
  <si>
    <t>Key Grip</t>
  </si>
  <si>
    <t xml:space="preserve">Kino Flo 120 cm 1 bank </t>
  </si>
  <si>
    <t xml:space="preserve">Kino Flo 120 cm 4bank </t>
  </si>
  <si>
    <t xml:space="preserve">Kino Flo 120 cm 4bank (box) </t>
  </si>
  <si>
    <t xml:space="preserve">Kino Flo 2ft Double </t>
  </si>
  <si>
    <t xml:space="preserve">Kino Flo 2ft Single </t>
  </si>
  <si>
    <t xml:space="preserve">Kino Flo 4ft Double </t>
  </si>
  <si>
    <t xml:space="preserve">Kino Flo 4ft Single </t>
  </si>
  <si>
    <t xml:space="preserve">Kino Flo 60 cm 1 bank </t>
  </si>
  <si>
    <t xml:space="preserve">Kino Flo 60 cm 4bank </t>
  </si>
  <si>
    <t xml:space="preserve">Kino Flo 60 cm 4bank (box) </t>
  </si>
  <si>
    <t xml:space="preserve">Kino Flo Celeb 200 </t>
  </si>
  <si>
    <t xml:space="preserve">Kino Flo Diva 400 </t>
  </si>
  <si>
    <t xml:space="preserve">Kino Flo Flat Head </t>
  </si>
  <si>
    <t xml:space="preserve">Kino Flo Select LED </t>
  </si>
  <si>
    <t xml:space="preserve">Kowa Anamorphic Lens Kit – 40,50,75mm (with 30mm extender) </t>
  </si>
  <si>
    <t>L10 LED</t>
  </si>
  <si>
    <t>L5 LED</t>
  </si>
  <si>
    <t>L7 LED</t>
  </si>
  <si>
    <t>LAN LIGHT Halogen fresnel</t>
  </si>
  <si>
    <t xml:space="preserve">Landscape Photographer </t>
  </si>
  <si>
    <t xml:space="preserve">Landscape Photographer With Edited Images </t>
  </si>
  <si>
    <t>LEBO 1000 LED</t>
  </si>
  <si>
    <t>LEBO 2000 LED</t>
  </si>
  <si>
    <t>LEBO 30 LED</t>
  </si>
  <si>
    <t>LEBO 60 LED</t>
  </si>
  <si>
    <t>LEBO 650 LED</t>
  </si>
  <si>
    <t xml:space="preserve">LED 15x5 </t>
  </si>
  <si>
    <t>LED 26*40</t>
  </si>
  <si>
    <t>LED 27*26</t>
  </si>
  <si>
    <t xml:space="preserve">Led Panel Light Kit </t>
  </si>
  <si>
    <t>LED RASCO 4 LED</t>
  </si>
  <si>
    <t>LED UNER WATER LED</t>
  </si>
  <si>
    <t xml:space="preserve">Leica EF Lens Kit B – 21,28,35,50,90,135mm </t>
  </si>
  <si>
    <t>Leica R Super Speed Lens Kit (19, 28, 35, 50, 80 &amp; 135mm)</t>
  </si>
  <si>
    <t>Lensbaby Pro Kit for Sony E</t>
  </si>
  <si>
    <t xml:space="preserve">Libec Monopod </t>
  </si>
  <si>
    <t>Lighting / Grip Truck with Lifter (Abu Dhabi)</t>
  </si>
  <si>
    <t>Lighting / Grip Truck with Lifter (Dubai Al Ain) other regions then AD, Al Ain and Dubai</t>
  </si>
  <si>
    <t>Lighting Designer</t>
  </si>
  <si>
    <t>Lighting Helper</t>
  </si>
  <si>
    <t>Lighting Tripod Big</t>
  </si>
  <si>
    <t>Lighting Tripod small</t>
  </si>
  <si>
    <t>Line Producer</t>
  </si>
  <si>
    <t xml:space="preserve">Litemate 1 </t>
  </si>
  <si>
    <t xml:space="preserve">Litemate 3 </t>
  </si>
  <si>
    <t xml:space="preserve">Litemate 4 </t>
  </si>
  <si>
    <t>Magic Arm Big</t>
  </si>
  <si>
    <t>Magic Arm Small</t>
  </si>
  <si>
    <t>Makeup Artist</t>
  </si>
  <si>
    <t>Makeup Artist Assistant</t>
  </si>
  <si>
    <t xml:space="preserve">Makeup Special Effects Specialist </t>
  </si>
  <si>
    <t xml:space="preserve">Manfrotto 546gb Tripod </t>
  </si>
  <si>
    <t xml:space="preserve">Maxibrute 12 </t>
  </si>
  <si>
    <t xml:space="preserve">Maxibrute 6 </t>
  </si>
  <si>
    <t xml:space="preserve">Maxibrute 9 </t>
  </si>
  <si>
    <t>Media Asset Manager</t>
  </si>
  <si>
    <t>Media Manager</t>
  </si>
  <si>
    <t>Mega Boom Arm for Heavy Lights</t>
  </si>
  <si>
    <t>MINE MAX LED</t>
  </si>
  <si>
    <t>Mini Flo 11"</t>
  </si>
  <si>
    <t xml:space="preserve">Mini Flo 9" </t>
  </si>
  <si>
    <t xml:space="preserve">Mirror </t>
  </si>
  <si>
    <t>MIX MAX LED</t>
  </si>
  <si>
    <t xml:space="preserve">Monopod </t>
  </si>
  <si>
    <t>Music Composer</t>
  </si>
  <si>
    <t xml:space="preserve">Nanlux Evoke 1200 </t>
  </si>
  <si>
    <t>Nanlux Evoke 2400</t>
  </si>
  <si>
    <t>Nanlux Evoke Softbox and Fersnel Lens</t>
  </si>
  <si>
    <t>Nicephoto light</t>
  </si>
  <si>
    <t xml:space="preserve">O’Conner 25/75 Head + Short &amp; Long Leg </t>
  </si>
  <si>
    <t xml:space="preserve">Orion Anamorphic Lens Set A  40,65,100mm </t>
  </si>
  <si>
    <t xml:space="preserve">Orion Anamorphic Lens Set B  32,50,80mm </t>
  </si>
  <si>
    <t xml:space="preserve">Panther Dolly + Straight &amp; Curved Tracks </t>
  </si>
  <si>
    <t xml:space="preserve">Panther Foxy Pro Crane </t>
  </si>
  <si>
    <t xml:space="preserve">Panther Slider 2 meters </t>
  </si>
  <si>
    <t xml:space="preserve">Panther Slider 70cm </t>
  </si>
  <si>
    <t xml:space="preserve">Panther Wall Spreader </t>
  </si>
  <si>
    <t>Par Can Light 64</t>
  </si>
  <si>
    <t xml:space="preserve">Phantom Flex Veo 4K </t>
  </si>
  <si>
    <t>Photo Editor</t>
  </si>
  <si>
    <t>Photographer</t>
  </si>
  <si>
    <t xml:space="preserve">Pipelight 8+ </t>
  </si>
  <si>
    <t xml:space="preserve">Pipelight Wide 84 </t>
  </si>
  <si>
    <t xml:space="preserve">PL Mount Director Viewfinder </t>
  </si>
  <si>
    <t>Playback System Pix 240i</t>
  </si>
  <si>
    <t xml:space="preserve">Playback System Pix E7 </t>
  </si>
  <si>
    <t xml:space="preserve">Plura 17” Full HD Monitor </t>
  </si>
  <si>
    <t xml:space="preserve">Polys Black/white </t>
  </si>
  <si>
    <t xml:space="preserve">Portraits Photographer </t>
  </si>
  <si>
    <t xml:space="preserve">Portraits Photographer With Edited Images </t>
  </si>
  <si>
    <t xml:space="preserve">Post Producer </t>
  </si>
  <si>
    <t>Power Cables</t>
  </si>
  <si>
    <t>Producer</t>
  </si>
  <si>
    <t xml:space="preserve">Product Photographer </t>
  </si>
  <si>
    <t xml:space="preserve">Product Photographer With Edited Images </t>
  </si>
  <si>
    <t>Production Assistant</t>
  </si>
  <si>
    <t>Production Coordinator</t>
  </si>
  <si>
    <t>Production Manager</t>
  </si>
  <si>
    <t>Project Coordinator</t>
  </si>
  <si>
    <t>Project Manager - Campaign</t>
  </si>
  <si>
    <t>Props Assistant</t>
  </si>
  <si>
    <t>Props Director</t>
  </si>
  <si>
    <t>Quartz USA 1k</t>
  </si>
  <si>
    <t xml:space="preserve">Radiant Soft Filter 4x5.6 – 1,2,3,1/2,1/4 </t>
  </si>
  <si>
    <t xml:space="preserve">Raptor Rickshaw </t>
  </si>
  <si>
    <t xml:space="preserve">Ready Rig </t>
  </si>
  <si>
    <t>READY RIG GS + PROARMS</t>
  </si>
  <si>
    <t xml:space="preserve">Real Estate Photographer </t>
  </si>
  <si>
    <t xml:space="preserve">Real Estate Photographer With Edited Images </t>
  </si>
  <si>
    <t xml:space="preserve">Red 7” Monitor </t>
  </si>
  <si>
    <t xml:space="preserve">Red Komodo </t>
  </si>
  <si>
    <t>RED KOMODO-X</t>
  </si>
  <si>
    <t>Red Shoulder Set</t>
  </si>
  <si>
    <t xml:space="preserve">RED V-RAPTOR 8K VV </t>
  </si>
  <si>
    <t xml:space="preserve">RED V-RAPTOR XL </t>
  </si>
  <si>
    <t xml:space="preserve">Reflector hard/soft </t>
  </si>
  <si>
    <t>Reporter</t>
  </si>
  <si>
    <t>Runner - General Assistant</t>
  </si>
  <si>
    <t xml:space="preserve">Sachtler 25/75 Head + Short &amp; Long Leg </t>
  </si>
  <si>
    <t xml:space="preserve">Sbring Ball 1200k D </t>
  </si>
  <si>
    <t>Schneider 4 x 5.65" Hollywood Black Magic 1 Filter</t>
  </si>
  <si>
    <t>Schneider 4 x 5.65" Hollywood Black Magic 1/2 Filter</t>
  </si>
  <si>
    <t>Schneider 4 x 5.65" Hollywood Black Magic 1/4 Filter</t>
  </si>
  <si>
    <t>Schneider 4 x 5.65" Hollywood Black Magic 1/8 Filter</t>
  </si>
  <si>
    <t>Schneider 4X5.56" Black Frost 1 Water White Glass Filter</t>
  </si>
  <si>
    <t>Schneider 4x5.65 Black Frost 1/2 Water White Glass Filter</t>
  </si>
  <si>
    <t>Schneider 4x5.65" Black Frost 1/4 Water White Glass Filter</t>
  </si>
  <si>
    <t>Schneider 4x5.65" Black Frost 1/8 Water White Glass Filter</t>
  </si>
  <si>
    <t>Scriptwriter</t>
  </si>
  <si>
    <t>Segment Producer</t>
  </si>
  <si>
    <t>Senior Producer</t>
  </si>
  <si>
    <t>Senior Video Editor</t>
  </si>
  <si>
    <t xml:space="preserve">Shape Rig Shoulder Set </t>
  </si>
  <si>
    <t>Slider floatCam</t>
  </si>
  <si>
    <t xml:space="preserve">Small HD 17” Monitor </t>
  </si>
  <si>
    <t xml:space="preserve">Small HD 703 Monitor </t>
  </si>
  <si>
    <t xml:space="preserve">Small Tripod </t>
  </si>
  <si>
    <t xml:space="preserve">Social Media Content Creator </t>
  </si>
  <si>
    <t>Social Media Manager</t>
  </si>
  <si>
    <t>Social Media Stratigist</t>
  </si>
  <si>
    <t>Soft Box 60</t>
  </si>
  <si>
    <t>SOFT BOX+ GRED</t>
  </si>
  <si>
    <t xml:space="preserve">SOFT BOX+ GRED </t>
  </si>
  <si>
    <t xml:space="preserve">SOFT BOX+ GRED  </t>
  </si>
  <si>
    <t>Sony Burano</t>
  </si>
  <si>
    <t>Sony FE 100-400mm f/4.5-5.6 GM OSS Lens</t>
  </si>
  <si>
    <t>Sony FE 12-24mm f/2.8 GM Lens</t>
  </si>
  <si>
    <t>Sony FE 135mm f/1.8 GM Lens</t>
  </si>
  <si>
    <t>Sony FE 14mm f/1.8 GM Lens</t>
  </si>
  <si>
    <t>Sony FE 16-35mm f/2.8 GM II Lens</t>
  </si>
  <si>
    <t>Sony FE 200-600mm f/5.6-6.3 G OSS Lens with UV Filter Kit</t>
  </si>
  <si>
    <t>Sony FE 20mm f/1.8 G Lens</t>
  </si>
  <si>
    <t>Sony FE 24-105mm f/4 G OSS Lens</t>
  </si>
  <si>
    <t>Sony FE 24-70mm f/2.8 GM II Lens</t>
  </si>
  <si>
    <t>Sony FE 24mm f/1.4 GM Lens</t>
  </si>
  <si>
    <t>Sony FE 35mm f/1.4 GM Lens</t>
  </si>
  <si>
    <t>Sony FE 50mm f/1.2 GM Lens</t>
  </si>
  <si>
    <t>Sony FE 70-200mm f/2.8 GM OSS II</t>
  </si>
  <si>
    <t>Sony FE 70-200mm f/4 Macro G OSS II Lens</t>
  </si>
  <si>
    <t>Sony FE 85mm f/1.4 GM Lens</t>
  </si>
  <si>
    <t>Sony FE 90mm f/2.8 Macro G OSS</t>
  </si>
  <si>
    <t>Sony FX3</t>
  </si>
  <si>
    <t>Sony FX6</t>
  </si>
  <si>
    <t xml:space="preserve">Sony FX9 </t>
  </si>
  <si>
    <t>Sony PTZ With Remote Control</t>
  </si>
  <si>
    <t>Sony Sonnar T* FE 55mm f/1.8 ZA Lens</t>
  </si>
  <si>
    <t>Sony Venice 2</t>
  </si>
  <si>
    <t>Sound Designer</t>
  </si>
  <si>
    <t>Sound Director</t>
  </si>
  <si>
    <t>Sound Engineer</t>
  </si>
  <si>
    <r>
      <t xml:space="preserve">Sound Engineer </t>
    </r>
    <r>
      <rPr>
        <sz val="10"/>
        <rFont val="Calibri (Body)"/>
      </rPr>
      <t>(1,500 with sound kit)</t>
    </r>
  </si>
  <si>
    <t>Sound Kit</t>
  </si>
  <si>
    <t>Sound Studio (Per Hour)</t>
  </si>
  <si>
    <t>Space Light 6000W HMI</t>
  </si>
  <si>
    <t>Spark / Light Technician</t>
  </si>
  <si>
    <t>Special Effects Artist</t>
  </si>
  <si>
    <t>Steadicam Operator</t>
  </si>
  <si>
    <t>Story Producer</t>
  </si>
  <si>
    <t>Storyboard Artist(per frame)</t>
  </si>
  <si>
    <t>Strand 10K T. Halogen fresnel</t>
  </si>
  <si>
    <t>Strand 5K T. Halogen fresnel</t>
  </si>
  <si>
    <t xml:space="preserve">Strobe Light </t>
  </si>
  <si>
    <t>Studio - Size (10X10)</t>
  </si>
  <si>
    <t>Studio - Size (10X7)</t>
  </si>
  <si>
    <t>Studio - Size (5x4)</t>
  </si>
  <si>
    <t>Studio Finaliser</t>
  </si>
  <si>
    <t xml:space="preserve">Sun Bounce Swatter </t>
  </si>
  <si>
    <t xml:space="preserve">Sun Swatter Start Kit </t>
  </si>
  <si>
    <t xml:space="preserve">SWIT 450 </t>
  </si>
  <si>
    <t xml:space="preserve">SWIT Flow 2000 </t>
  </si>
  <si>
    <t>SWIT monitor 9"</t>
  </si>
  <si>
    <t>SWIT Roll Light Midium</t>
  </si>
  <si>
    <t>SWIT Roll Light Small</t>
  </si>
  <si>
    <t>Teleprompter</t>
  </si>
  <si>
    <t>Teleprompter (works with iPad or Tablet)</t>
  </si>
  <si>
    <t>Teradek Bolt 4K 1500 12G</t>
  </si>
  <si>
    <t xml:space="preserve">Teradek Bolt 4K 750 </t>
  </si>
  <si>
    <t>Tiffen 4 x 5.65" Black Pro-Mist 1 Filter</t>
  </si>
  <si>
    <t>Tiffen 4 x 5.65" Black Pro-Mist 1/2 Filter</t>
  </si>
  <si>
    <t>Tiffen 4 x 5.65" Black Pro-Mist 1/4 Filter</t>
  </si>
  <si>
    <t>Tiffen 4 x 5.65" Black Pro-Mist 1/8 Filter</t>
  </si>
  <si>
    <t>Tiffen 4 x 5.65" Black Soft/FX 1 Density Filter</t>
  </si>
  <si>
    <t>Tiffen 4 x 5.65" Black Soft/FX 1/2 Density Filter</t>
  </si>
  <si>
    <t>Tiffen 4 x 5.65" Black Soft/FX 1/8 Density Filter</t>
  </si>
  <si>
    <t>Tiffen 4 x 5.65" Circular Polarizer Filter for Tiffen Multi Rota Tray</t>
  </si>
  <si>
    <t>Tiffen 4 x 5.65" Clear Standard Coated Filter</t>
  </si>
  <si>
    <t>Tiffen 4 x 5.65" Glimmerglass 1/2 Filter</t>
  </si>
  <si>
    <t>Tiffen 4 x 5.65" Glimmerglass 1/4 Filter</t>
  </si>
  <si>
    <t>Tiffen 4 x 5.65" Glimmerglass 1/8 Filter</t>
  </si>
  <si>
    <t>Tiffen 4 x 5.65" Glimmerglass 2 Filter</t>
  </si>
  <si>
    <t>Tiffen 4 x 5.65" Glimmerglass 3 Filter</t>
  </si>
  <si>
    <t>Tiffen 4 x 5.65" IRND 0.3 Digital Diffusion/FX 3 Filter</t>
  </si>
  <si>
    <t>Tiffen 4 x 5.65" IRND 0.6 Digital Diffusion/FX 3 Filter</t>
  </si>
  <si>
    <t>Tiffen 4 x 5.65" IRND 0.9 Digital Diffusion/FX 3 Filter</t>
  </si>
  <si>
    <t>Tiffen 4 x 5.65" IRND 1.2 Digital Diffusion/FX 3 Filter</t>
  </si>
  <si>
    <t>Tiffen 4 x 5.65" Linear Polarizer Filter</t>
  </si>
  <si>
    <t>Tiffen 4 x 5.65" ND 0.3 Filter (1-Stop)</t>
  </si>
  <si>
    <t>Tiffen 4 x 5.65" ND 0.6 Filter (2-Stop)</t>
  </si>
  <si>
    <t>Tiffen 4 x 5.65" ND 0.9 Filter (3-Stop)</t>
  </si>
  <si>
    <t>Tiffen 4 x 5.65" Soft Edge Graduated 0.3 ND Filter (Horizontal Orientation)</t>
  </si>
  <si>
    <t>Tiffen 4 x 5.65" Soft Edge Graduated 0.3 ND Filter (Vertical Orientation)</t>
  </si>
  <si>
    <t>Tiffen 4 x 5.65" Soft Edge Graduated 0.6 ND Filter (Horizontal Orientation)</t>
  </si>
  <si>
    <t>Tiffen 4 x 5.65" Soft Edge Graduated 0.6 ND Filter (Vertical Orientation)</t>
  </si>
  <si>
    <t>Tiffen 4 x 5.65" Soft Edge Graduated 0.9 ND Filter (Horizontal Orientation)</t>
  </si>
  <si>
    <t>Tiffen 4 x 5.65" Soft Edge Graduated 0.9 ND Filter (Vertical Orientation)</t>
  </si>
  <si>
    <t>Tiffen 4 x 5.65" T1 IR Filter</t>
  </si>
  <si>
    <t>Tiffen 4 x 5.65" Warm Soft/FX 1/4 Density Filter</t>
  </si>
  <si>
    <t>Tiffen 4 x 5.65" Water White ND 1.2 Filter (4-Stop)</t>
  </si>
  <si>
    <t>Tiffen 4 x 5.65" Water White ND 1.5 Filter (5-Stop)</t>
  </si>
  <si>
    <t>Tiffen 4 x 5.65" Water White ND 1.8 Filter (6-Stop)</t>
  </si>
  <si>
    <t>Tiffen 4 x 5.65" Water White ND 2.1 Filter (7-Stop)</t>
  </si>
  <si>
    <t>Tiffen 6.6 x 6.6" Clear Standard Coated Filter</t>
  </si>
  <si>
    <t>Tiffen 6.6 x 6.6" Combination Soft FX 1 / IRND 0.3 Filter (1-Stop)</t>
  </si>
  <si>
    <t>Tiffen 6.6 x 6.6" Combination Soft FX 1 / IRND 0.6 Filter (2-Stop)</t>
  </si>
  <si>
    <t>Tiffen 6.6 x 6.6" Combination Soft FX 1 / IRND 0.9 Filter (3-Stop)</t>
  </si>
  <si>
    <t>Tiffen 6.6 x 6.6" Combination Soft FX 1 / IRND 1.2 Filter (4-Stop)</t>
  </si>
  <si>
    <t>Tiffen 6.6 x 6.6" Combination Soft FX 1/2 / IRND 0.3 Filter (1-Stop)</t>
  </si>
  <si>
    <t>Tiffen 6.6 x 6.6" Combination Soft FX 1/2 / IRND 0.6 Filter (2-Stop)</t>
  </si>
  <si>
    <t>Tiffen 6.6 x 6.6" Combination Soft FX 1/2 / IRND 0.9 Filter (3-Stop)</t>
  </si>
  <si>
    <t>Tiffen 6.6 x 6.6" Combination Soft FX 1/2 / IRND 1.2 Filter (4-Stop)</t>
  </si>
  <si>
    <t>Tiffen 6.6 x 6.6" Combination Soft FX 2 / IRND 0.3 Filter (1-Stop)</t>
  </si>
  <si>
    <t>Tiffen 6.6 x 6.6" Combination Soft FX 2 / IRND 0.6 Filter (2-Stop)</t>
  </si>
  <si>
    <t>Tiffen 6.6 x 6.6" Combination Soft FX 2 / IRND 0.9 Filter (3-Stop)</t>
  </si>
  <si>
    <t>Tiffen 6.6 x 6.6" Combination Soft FX 2 / IRND 1.2 Filter (4-Stop)</t>
  </si>
  <si>
    <t>Tiffen 6.6 x 6.6" Full Spectrum IRND 0.3 Filter (1-Stop)</t>
  </si>
  <si>
    <t>Tiffen 6.6 x 6.6" Full Spectrum IRND 0.6 Filter (2-Stop)</t>
  </si>
  <si>
    <t>Tiffen 6.6 x 6.6" Full Spectrum IRND 0.9 Filter (3-Stop)</t>
  </si>
  <si>
    <t>Tiffen 6.6 x 6.6" Full Spectrum IRND 1.2 Filter (4-Stop)</t>
  </si>
  <si>
    <t>Tiffen 6.6 x 6.6" Full Spectrum IRND 1.5 Filter (5-Stop)</t>
  </si>
  <si>
    <t>Tiffen 6.6 x 6.6" Full Spectrum IRND 1.8 Filter (6-Stop)</t>
  </si>
  <si>
    <t>Tiffen 6.6 x 6.6" Full Spectrum IRND 2.1 Filter (7-Stop)</t>
  </si>
  <si>
    <t>Tiffen 6.6 x 6.6" Linear Polarizer Filter</t>
  </si>
  <si>
    <t>Tiffen 6.6 x 6.6" T1 IR Filter</t>
  </si>
  <si>
    <t>Tiffen Blue Streak Filter (4 x 5.65", 2 Thread Spacing)</t>
  </si>
  <si>
    <t>Tiffen Blue Streak Filter (4 x 5.65", 3 Thread Spacing)</t>
  </si>
  <si>
    <t>Tilta 3-Stage 4 x 5.65" Carbon Fiber Clip-On Matte Box (95mm Back)</t>
  </si>
  <si>
    <t>Tilta 6.6 x 6.6" Carbon Fiber Matte Box</t>
  </si>
  <si>
    <t>Tilta MB-T12 Matte Box 4 x 5.65"</t>
  </si>
  <si>
    <t>Tilta professional Manual cinema slider system 1-2-3m</t>
  </si>
  <si>
    <t>Titla Wireless Focus</t>
  </si>
  <si>
    <t xml:space="preserve">Translator </t>
  </si>
  <si>
    <t>Transportation</t>
  </si>
  <si>
    <t>Transportation Abu Dhabi</t>
  </si>
  <si>
    <t>Transportation other regions then AD, Al Ain and Dubai</t>
  </si>
  <si>
    <t xml:space="preserve">Transvideo </t>
  </si>
  <si>
    <t>Tripod Botai V25</t>
  </si>
  <si>
    <t>Truck-Abu Dhabi(Truck for equipment or Generator)</t>
  </si>
  <si>
    <t xml:space="preserve">TV Logic 17” Full HD Monitor </t>
  </si>
  <si>
    <t xml:space="preserve">TV Logic 5.6” Full HD Monitor </t>
  </si>
  <si>
    <t xml:space="preserve">TV Logic 7” Full HD Monitor </t>
  </si>
  <si>
    <t xml:space="preserve">TV Logic 9” Full HD Monitor </t>
  </si>
  <si>
    <t>TYBE 120 LED</t>
  </si>
  <si>
    <t>TYBE 60 LED</t>
  </si>
  <si>
    <t xml:space="preserve">Ultimate Fluid Head 2575D </t>
  </si>
  <si>
    <t xml:space="preserve">Universal Carmount </t>
  </si>
  <si>
    <t>Video Editor</t>
  </si>
  <si>
    <t>Videographer Junior</t>
  </si>
  <si>
    <t>Videographer Making-off</t>
  </si>
  <si>
    <t>Videographer Senior</t>
  </si>
  <si>
    <t>Visual Effects Animator</t>
  </si>
  <si>
    <t>Visual Effects Animator 2D</t>
  </si>
  <si>
    <t>Visual Effects Animator 3D</t>
  </si>
  <si>
    <t>Voice Actors - Arabic - Adults</t>
  </si>
  <si>
    <t>Voice Actors - Arabic - Children</t>
  </si>
  <si>
    <t>Voice Actors - Arabic - Youth</t>
  </si>
  <si>
    <t>Voice Actors - Arabic Emirati - Adults</t>
  </si>
  <si>
    <t>Voice Actors - Arabic Emirati - Children</t>
  </si>
  <si>
    <t>Voice Actors - Arabic Emirati - Youth</t>
  </si>
  <si>
    <t>Voice Actors - English - Emirati - Adults</t>
  </si>
  <si>
    <t>Voice Actors - English - Emirati - Children</t>
  </si>
  <si>
    <t>Voice Actors - English - Emirati - Youth</t>
  </si>
  <si>
    <t>Voice Actors - English (British) - Adults</t>
  </si>
  <si>
    <t>Voice Actors - English (British) - Children</t>
  </si>
  <si>
    <t>Voice Actors - English (British) - Youth</t>
  </si>
  <si>
    <t>Voiceover recorder</t>
  </si>
  <si>
    <t>VOYAGER UNER WATER 120 LED</t>
  </si>
  <si>
    <t>VOYAGER UNER WATER 60 LED</t>
  </si>
  <si>
    <t xml:space="preserve">Walkie Talkie </t>
  </si>
  <si>
    <t>Wardrobe Stylist</t>
  </si>
  <si>
    <t>Wireless Director Monitor</t>
  </si>
  <si>
    <t>Zeiss CP2 Lens 70-200</t>
  </si>
  <si>
    <t xml:space="preserve">Zeiss CP3 Lens Kit – 15,25,35,50,85,135mm (FF) </t>
  </si>
  <si>
    <t xml:space="preserve">Zeiss Supreme Prime – 150mm </t>
  </si>
  <si>
    <t xml:space="preserve">Zeiss Supreme Prime – 18mm </t>
  </si>
  <si>
    <t xml:space="preserve">Zeiss Supreme Primes Lens Kit – 21,25,29,35,50,85,100, 135mm </t>
  </si>
  <si>
    <t>Zoom Forza 60 LED</t>
  </si>
  <si>
    <t>location manager</t>
  </si>
  <si>
    <t>Location Assistant</t>
  </si>
  <si>
    <t>Accountant</t>
  </si>
  <si>
    <t>Production Designer</t>
  </si>
  <si>
    <t>COMPANY NAME/PERSON</t>
  </si>
  <si>
    <t>ADDRESS</t>
  </si>
  <si>
    <t>TRN</t>
  </si>
  <si>
    <t>PHONE</t>
  </si>
  <si>
    <t>EMAIL</t>
  </si>
  <si>
    <t>WEBSITE</t>
  </si>
  <si>
    <t>CUSTOMER ID</t>
  </si>
  <si>
    <t>Saluki Media FZ LLC (Creative Zone Branch)</t>
  </si>
  <si>
    <t>PO Box: 769787, Abu Dhabi, UAE</t>
  </si>
  <si>
    <t>100582845200003</t>
  </si>
  <si>
    <t>nithil@salukimedia.com</t>
  </si>
  <si>
    <t>www.salukimedia.com</t>
  </si>
  <si>
    <t>0001</t>
  </si>
  <si>
    <t>100006359200003</t>
  </si>
  <si>
    <t>0002</t>
  </si>
  <si>
    <t>Twofour 54 FZ LLC</t>
  </si>
  <si>
    <t>100300336300003</t>
  </si>
  <si>
    <t>0003</t>
  </si>
  <si>
    <t>Tawazun Council</t>
  </si>
  <si>
    <t>-</t>
  </si>
  <si>
    <t>0004</t>
  </si>
  <si>
    <t xml:space="preserve"> </t>
  </si>
  <si>
    <t>Perticulers</t>
  </si>
  <si>
    <t>Price After Discount</t>
  </si>
  <si>
    <t>Company :</t>
  </si>
  <si>
    <t>Concern:</t>
  </si>
  <si>
    <t>Digital World</t>
  </si>
  <si>
    <t>A A General Trading</t>
  </si>
  <si>
    <t>Baynounah TV</t>
  </si>
  <si>
    <t>HEDGEHOG</t>
  </si>
  <si>
    <t>LIVE HD</t>
  </si>
  <si>
    <t>Dubai Media Incorporated</t>
  </si>
  <si>
    <t>A B Fitness</t>
  </si>
  <si>
    <t>Three Monkeys Creative Consulting FZ LLC</t>
  </si>
  <si>
    <t>Twofour54 Building 1, Salam Street MZA,Abu Dhabi</t>
  </si>
  <si>
    <t xml:space="preserve">ABC, def, 123 </t>
  </si>
  <si>
    <t>Business Hub,Block B,First Floor.</t>
  </si>
  <si>
    <t>Gabriel Khabbaz St., Kamel Building
Ashrafieh, Beirut-Lebanon</t>
  </si>
  <si>
    <t>P.O. Box no# 39995, Abu Dhabi -UAE</t>
  </si>
  <si>
    <t>P.O Box no# 835, Dubai</t>
  </si>
  <si>
    <t>Dubai Maritime City - Port Rashid</t>
  </si>
  <si>
    <t>Creative Tower, PO 4422, Fujairah Fujairah , United Arab Emirates</t>
  </si>
  <si>
    <t>056-4166246</t>
  </si>
  <si>
    <t>0566885123</t>
  </si>
  <si>
    <t>0096176927370</t>
  </si>
  <si>
    <t>97124144924</t>
  </si>
  <si>
    <t>+971561143026</t>
  </si>
  <si>
    <t>XX0000000000002</t>
  </si>
  <si>
    <t>XX0000000000003</t>
  </si>
  <si>
    <t>100344402100003</t>
  </si>
  <si>
    <t>100305931600003</t>
  </si>
  <si>
    <t>100044983300003</t>
  </si>
  <si>
    <t>100538604800003</t>
  </si>
  <si>
    <t>100067412500003</t>
  </si>
  <si>
    <t>mariam.abdallah@twofour54.com</t>
  </si>
  <si>
    <t>abc@abc.com</t>
  </si>
  <si>
    <t>msamara@baynounah.ae</t>
  </si>
  <si>
    <t>solofeghali@gmail.com</t>
  </si>
  <si>
    <t>walaa.alshalabi@livehd.ae</t>
  </si>
  <si>
    <t>E: Ahmad.Malek@dmi.ae</t>
  </si>
  <si>
    <t>sujithabfitness66@gmail.com</t>
  </si>
  <si>
    <t>rudi.buchner@3monkeys.net</t>
  </si>
  <si>
    <t>0005</t>
  </si>
  <si>
    <t>0006</t>
  </si>
  <si>
    <t>0007</t>
  </si>
  <si>
    <t>0008</t>
  </si>
  <si>
    <t>0009</t>
  </si>
  <si>
    <t>0010</t>
  </si>
  <si>
    <t>0011</t>
  </si>
  <si>
    <t>0012</t>
  </si>
  <si>
    <t>0013</t>
  </si>
  <si>
    <t>Abu Dhabi Falconers Club</t>
  </si>
  <si>
    <t>Zayed Military City - Abu Dhabi</t>
  </si>
  <si>
    <t>100275870200003</t>
  </si>
  <si>
    <t>+97143752435</t>
  </si>
  <si>
    <t>:+971543020305</t>
  </si>
  <si>
    <t>:+971507246199</t>
  </si>
  <si>
    <t>Nalhamadi@efcad.ae</t>
  </si>
  <si>
    <t>0014</t>
  </si>
  <si>
    <t>0015</t>
  </si>
  <si>
    <t>0016</t>
  </si>
  <si>
    <t>0017</t>
  </si>
  <si>
    <t>0018</t>
  </si>
  <si>
    <t>0019</t>
  </si>
  <si>
    <t>0020</t>
  </si>
  <si>
    <t>0021</t>
  </si>
  <si>
    <t>0022</t>
  </si>
  <si>
    <t>0023</t>
  </si>
  <si>
    <t>Abu Dhabi Media Company PJSC</t>
  </si>
  <si>
    <t>Ittihad newspaper building number 2, Muror Street, Abu Dhabi, 63, Abu Dhabi</t>
  </si>
  <si>
    <t>+97124144320</t>
  </si>
  <si>
    <t>Wissam.ElJalbout@livehd.ae</t>
  </si>
  <si>
    <t>100064938200003</t>
  </si>
  <si>
    <t>CAPITAL 360 - L.L.C - O.P.C</t>
  </si>
  <si>
    <t>ADNEC Group Head Office, Khaleej Al Arabi Street, Po Box:5546, Abu Dhabi-UAE</t>
  </si>
  <si>
    <t>fasal.rahman@adnec.ae</t>
  </si>
  <si>
    <t>100305367300003</t>
  </si>
  <si>
    <t>Thales International Middle East (Branches)</t>
  </si>
  <si>
    <t>Building No.8 West Wing Block-A Floor No.5_DAFZA_Dubai U.A.E</t>
  </si>
  <si>
    <t>Al Jazira Sports and Culture Club</t>
  </si>
  <si>
    <t>Al Muroor Road, 17 Street, Beside Police H.Q, P.O Box no# 2750, Abu Dhabi, UAE</t>
  </si>
  <si>
    <t>Al Ain Sports and Cultural Club</t>
  </si>
  <si>
    <t>P.O Box no# 1113, Al Ain</t>
  </si>
  <si>
    <t xml:space="preserve">Al Ain Football Club Company </t>
  </si>
  <si>
    <t>rita.badaoui@thalesgroup.com</t>
  </si>
  <si>
    <t>+971585690601</t>
  </si>
  <si>
    <t>d.aboudebes@jc.ae</t>
  </si>
  <si>
    <t>+971503327551</t>
  </si>
  <si>
    <t>nalmessabi@alainclub.ae</t>
  </si>
  <si>
    <t>+971558969576</t>
  </si>
  <si>
    <t>100537155200003</t>
  </si>
  <si>
    <t>100598076600003</t>
  </si>
  <si>
    <t>100272155100003</t>
  </si>
  <si>
    <t>0024</t>
  </si>
  <si>
    <t>0025</t>
  </si>
  <si>
    <t>0026</t>
  </si>
  <si>
    <t>0027</t>
  </si>
  <si>
    <t>0028</t>
  </si>
  <si>
    <t>0029</t>
  </si>
  <si>
    <t>0030</t>
  </si>
  <si>
    <t>0031</t>
  </si>
  <si>
    <t>0032</t>
  </si>
  <si>
    <t>0033</t>
  </si>
  <si>
    <t>0034</t>
  </si>
  <si>
    <t>0035</t>
  </si>
  <si>
    <t>0036</t>
  </si>
  <si>
    <t>0037</t>
  </si>
  <si>
    <t>0038</t>
  </si>
  <si>
    <t>0039</t>
  </si>
  <si>
    <t>0040</t>
  </si>
  <si>
    <t>0041</t>
  </si>
  <si>
    <t>0042</t>
  </si>
  <si>
    <t>0043</t>
  </si>
  <si>
    <t>0044</t>
  </si>
  <si>
    <t>0045</t>
  </si>
  <si>
    <t>0046</t>
  </si>
  <si>
    <t>0047</t>
  </si>
  <si>
    <t>0048</t>
  </si>
  <si>
    <t>0049</t>
  </si>
  <si>
    <t>0050</t>
  </si>
  <si>
    <t>0051</t>
  </si>
  <si>
    <t>0052</t>
  </si>
  <si>
    <t>Al Hokamaa Center FZ LLC</t>
  </si>
  <si>
    <t>PO Box:769564, Abu Dhabi, UAE</t>
  </si>
  <si>
    <t>+971 544946204</t>
  </si>
  <si>
    <t>Al Naliyah FZ LLC</t>
  </si>
  <si>
    <t>PO BOX: 77888, Abu Dhabi, UAE</t>
  </si>
  <si>
    <t>T: +97126964117</t>
  </si>
  <si>
    <t>mfadhel@mediaoffice.abudhabi</t>
  </si>
  <si>
    <t>Alienz Events Management</t>
  </si>
  <si>
    <t>Bedaia Building, 18979 78723, Umm Suqaim, ALBARSHA FIRST, DUBAI</t>
  </si>
  <si>
    <t>hassan@alienzevents.com</t>
  </si>
  <si>
    <t>100613420700003</t>
  </si>
  <si>
    <t>Build Up Exhibition Fixtures LLC</t>
  </si>
  <si>
    <t>PO BOX: 49800 , Dubai UAE</t>
  </si>
  <si>
    <t xml:space="preserve"> rona@buildup.ae</t>
  </si>
  <si>
    <t>100360693400003</t>
  </si>
  <si>
    <t>Boushahri Group: Red Bull Kuwait</t>
  </si>
  <si>
    <t>Northern Salmiya Building, Salem Al Mubarak St, PO Box 547, Kuwait</t>
  </si>
  <si>
    <t>Rawan.Ftouni@redbull.com</t>
  </si>
  <si>
    <t>Creative Media Authority</t>
  </si>
  <si>
    <t>Yas Creative Hub, Tower 04, P2, P.O Box no# 769301, Abu Dhabi - UAE</t>
  </si>
  <si>
    <t>Clip My Horse</t>
  </si>
  <si>
    <t>ClipMyHorse.TV Operations GmbH Wandersmannstraße 68D-65205 Wiesbaden, France.</t>
  </si>
  <si>
    <t>Burjeel Medical City LLC</t>
  </si>
  <si>
    <t>28th Street Mohammad Bin Zayed City, P.O Box:92510, ABU DHABI - UAE</t>
  </si>
  <si>
    <t>+971565454642</t>
  </si>
  <si>
    <t>jane.pedron@cma.gov.ae</t>
  </si>
  <si>
    <t>m.jager@clipmyhorse.tv</t>
  </si>
  <si>
    <t>wael.saleh@burjeelmedicalcity.com</t>
  </si>
  <si>
    <t>104161497300003</t>
  </si>
  <si>
    <t>100230670000003</t>
  </si>
  <si>
    <t>Shasha FZ LLC</t>
  </si>
  <si>
    <t>First Floor, Office no# 103, Circular Building-G2, Dubai production City, Dubai</t>
  </si>
  <si>
    <t>Reemo Al Wataniya  Production Company SPC</t>
  </si>
  <si>
    <t>Abdullah Al Othman Street, Block 10, Hawally. Kuwait.</t>
  </si>
  <si>
    <t>Cable News International Inc. (Creative Zone Branch)</t>
  </si>
  <si>
    <t>PO Box: 77753,Abu Dhabi, UAE</t>
  </si>
  <si>
    <t>rami.karam@alqabas.com</t>
  </si>
  <si>
    <t>accm@alqabas.com</t>
  </si>
  <si>
    <t>+14045391185</t>
  </si>
  <si>
    <t>angelica.cantillana@cnn.com</t>
  </si>
  <si>
    <t>100526840200003</t>
  </si>
  <si>
    <t>abdulla.alfahim@cpc.gov.ae</t>
  </si>
  <si>
    <t>PRESIDENTIAL COURT</t>
  </si>
  <si>
    <t>P​.O.Box : 280​ Abu Dhabi, United Arab Emirates</t>
  </si>
  <si>
    <t>100208375400003</t>
  </si>
  <si>
    <t>Dubai Arena Operations FZ LLC</t>
  </si>
  <si>
    <t>City Walk, Al Wasl, Bur Dubai, Dubai</t>
  </si>
  <si>
    <t>100051292900003</t>
  </si>
  <si>
    <t>ESTAZ FZ LLC</t>
  </si>
  <si>
    <t>Community Hub, Building C40, Yas Creative Hub, Yas South, Abu Dhabi, P.O. Box 769904, Abu Dhabi, United Arab Emirates</t>
  </si>
  <si>
    <t>+971 55 929 6080</t>
  </si>
  <si>
    <t>ralph@estaz.gg</t>
  </si>
  <si>
    <t>104037422300003</t>
  </si>
  <si>
    <t>FOTOGRAFILLES</t>
  </si>
  <si>
    <t>Lana Tower 904, Lazuward N E, JVC, JVC,</t>
  </si>
  <si>
    <t>+971567779211</t>
  </si>
  <si>
    <t>hanadi@fotografilles.com</t>
  </si>
  <si>
    <t>IMI Media</t>
  </si>
  <si>
    <t>aallulu@imimedia.com</t>
  </si>
  <si>
    <t>LEAD PROJECTS MANAGEMENT L.L.C</t>
  </si>
  <si>
    <t>SSHEIKHA FATHIMA BINT MUBARAK, CORNICHE STREET, CORNICHE, ABU DHABI, Abu Dhabi, United Arab Emirates, 45251,</t>
  </si>
  <si>
    <t>IP STUDIOS FZ LLC</t>
  </si>
  <si>
    <t>Sheikha Fathma Bint Mubarak, Al Hana Tower, Building no# PRP31107, Abu Dhabi - UAE</t>
  </si>
  <si>
    <t>+97126811383</t>
  </si>
  <si>
    <t>shakeel@ipstudios.com</t>
  </si>
  <si>
    <t>100063848400003</t>
  </si>
  <si>
    <t>100334846100003</t>
  </si>
  <si>
    <t>I Production For Media Production &amp; Event</t>
  </si>
  <si>
    <t>100344110000003</t>
  </si>
  <si>
    <t>Lagardere Sports</t>
  </si>
  <si>
    <t xml:space="preserve">Ashrafieh, Charles Malek Avenue, Quantum Tower, 3rd Floor, Beirut, Lebanon </t>
  </si>
  <si>
    <t>IDEAL SYSTEMS GENERAL TRADING LLC</t>
  </si>
  <si>
    <t>Office#3006, Westburry office Tower, Business Bay, Dubai, P.O. Box 71531, UAE</t>
  </si>
  <si>
    <t>TSlaiby@lagardere-se.com</t>
  </si>
  <si>
    <t>ayman@idealsys.com</t>
  </si>
  <si>
    <t>100329774200003</t>
  </si>
  <si>
    <t>Melon Events FZ LLC</t>
  </si>
  <si>
    <t>PO Box 213812 | Building 8 | Dubai Media City | Third Floor 330 | Dubai - UAE</t>
  </si>
  <si>
    <t>Majid Al Futtaim Rewards L.L.C</t>
  </si>
  <si>
    <t>10th Floor MAF Tower 1, Port Saeed, P.O Box no# 60811, Dubai, United Arab Emirates.</t>
  </si>
  <si>
    <t>rana@melonme.com</t>
  </si>
  <si>
    <t>alaa.alsharkawy@maf.ae</t>
  </si>
  <si>
    <t xml:space="preserve">100008702100003 </t>
  </si>
  <si>
    <t>100022340200003</t>
  </si>
  <si>
    <t>Mandara Equestrian Club</t>
  </si>
  <si>
    <t>Rahba Farm, Plot No. 991, Rahba - Abu Dhabi</t>
  </si>
  <si>
    <t>+971502010333</t>
  </si>
  <si>
    <t>971508453292</t>
  </si>
  <si>
    <t>Tel:+97128090303</t>
  </si>
  <si>
    <t>+96555344349</t>
  </si>
  <si>
    <t>+971504596911</t>
  </si>
  <si>
    <t>97143683088</t>
  </si>
  <si>
    <t>N E P FILM TV AND RADIO PRODUCTION SERVICES L.L.C</t>
  </si>
  <si>
    <t>NASER AHMED SAEED MHD AL AWADHI BUILDING, Office 101-C8, Al Garhoud, Dubai, Dubai</t>
  </si>
  <si>
    <t>104379936800003</t>
  </si>
  <si>
    <t>+971562038989</t>
  </si>
  <si>
    <t>broukoz@nepgroup.com</t>
  </si>
  <si>
    <t>https://www.nepgroup.com/</t>
  </si>
  <si>
    <t>NMPRO fz llc</t>
  </si>
  <si>
    <t>SD2-08,GF,Bldg 08, Dubai Media City, Dubai Media City, Dubai, 502068, Dubai</t>
  </si>
  <si>
    <t>104018580100003</t>
  </si>
  <si>
    <t>+971506849842</t>
  </si>
  <si>
    <t>nmpro@nmpro.net</t>
  </si>
  <si>
    <t>RAW FILMS FOR TELEVISION PROGRAMS PRODUCTION - SOLE PROPRIETORSHIP L.L.C.</t>
  </si>
  <si>
    <t xml:space="preserve">Building 4, Musaffah - M26, Musaffah, </t>
  </si>
  <si>
    <t>+971544599424</t>
  </si>
  <si>
    <t>100583883200003</t>
  </si>
  <si>
    <t>Red Bull Asia FZE</t>
  </si>
  <si>
    <t>Buidling 3E, 03rd Floor, Dubai Airport Freezone, P.O Box no# 54310, Dubai - UAE</t>
  </si>
  <si>
    <t>Red Bull GMBH</t>
  </si>
  <si>
    <t>Am Brunnen 1, Fuschl Am See, 5330 Austria</t>
  </si>
  <si>
    <t>+971543098866</t>
  </si>
  <si>
    <t>ross.macdonald@redbull.com</t>
  </si>
  <si>
    <t>Calyx LLC</t>
  </si>
  <si>
    <t>Sharjah Media City, Sharjah, UAE</t>
  </si>
  <si>
    <t>The Crown Prince Court</t>
  </si>
  <si>
    <t>P.O. Box 124, Abu Dhabi, United Arab Emirates</t>
  </si>
  <si>
    <t>ralph@calyx.gg</t>
  </si>
  <si>
    <t xml:space="preserve">026686514 </t>
  </si>
  <si>
    <t>100476557200003</t>
  </si>
  <si>
    <t>Spotlight Recreational Services</t>
  </si>
  <si>
    <t>Al Wasl Building Office 122, Sheikh Zayed Road, Dubai, Dubai,</t>
  </si>
  <si>
    <t xml:space="preserve">Capital D Studio </t>
  </si>
  <si>
    <t xml:space="preserve">#50, Unit 9 &amp; 10, Street 6B, Al Quoz 3, Dubai, UAE
</t>
  </si>
  <si>
    <t>Tel: +97143469843</t>
  </si>
  <si>
    <t>mk@spotlightrs.com</t>
  </si>
  <si>
    <t>00971501341222</t>
  </si>
  <si>
    <t>100262541400003</t>
  </si>
  <si>
    <t>100008348300003</t>
  </si>
  <si>
    <t>0053</t>
  </si>
  <si>
    <t>0054</t>
  </si>
  <si>
    <t>0055</t>
  </si>
  <si>
    <t>0056</t>
  </si>
  <si>
    <t>0057</t>
  </si>
  <si>
    <t>0058</t>
  </si>
  <si>
    <t>0059</t>
  </si>
  <si>
    <t>0060</t>
  </si>
  <si>
    <t>0061</t>
  </si>
  <si>
    <t>0062</t>
  </si>
  <si>
    <t>0063</t>
  </si>
  <si>
    <t>0064</t>
  </si>
  <si>
    <t>0065</t>
  </si>
  <si>
    <t>0066</t>
  </si>
  <si>
    <t>0067</t>
  </si>
  <si>
    <t>0068</t>
  </si>
  <si>
    <t>0069</t>
  </si>
  <si>
    <t>0070</t>
  </si>
  <si>
    <t>0071</t>
  </si>
  <si>
    <t>0072</t>
  </si>
  <si>
    <t>0073</t>
  </si>
  <si>
    <t>0074</t>
  </si>
  <si>
    <t>0075</t>
  </si>
  <si>
    <t>0076</t>
  </si>
  <si>
    <t>0077</t>
  </si>
  <si>
    <t>0078</t>
  </si>
  <si>
    <t>Flash Entertainment FZ-LLC</t>
  </si>
  <si>
    <t>1st Floor, Marina Grandstand, Yas Marina Circuit, Gate 7 Yas Leisure Dr - Yas Island - Abu Dhabi</t>
  </si>
  <si>
    <t>American Community School</t>
  </si>
  <si>
    <t>American Community School Campus, Mileih St, Khalidya, P.O Box: 42114 Abu Dhabi</t>
  </si>
  <si>
    <t>Toaster Artistic production-Sole proprietorship L.L.C</t>
  </si>
  <si>
    <t>AlFalah St, Abu Dhabi, Abu Dhabi 99, United Arab Emirates</t>
  </si>
  <si>
    <t xml:space="preserve">Sky News Arabia </t>
  </si>
  <si>
    <t>Abu Dhabi Media Company 1, 4th St, Al Ethihad Area, P.O Box no# 77845, Abu Dhabi</t>
  </si>
  <si>
    <t>+971 54 304 9677</t>
  </si>
  <si>
    <t>Stephanus@flashentertainment.com</t>
  </si>
  <si>
    <t>T +971 2 681 5115</t>
  </si>
  <si>
    <t>yvettecampbell@acs.sch.ae</t>
  </si>
  <si>
    <t>afra.almarar@toasterproductionsme.com</t>
  </si>
  <si>
    <t>yasir.abdelazim@skynewsarabia.com</t>
  </si>
  <si>
    <t>100016291500003</t>
  </si>
  <si>
    <t>100390871000003</t>
  </si>
  <si>
    <t>100321518100003</t>
  </si>
  <si>
    <t>SPIRA SPORTS INTEGRATED CLUB L.L.C.</t>
  </si>
  <si>
    <t>مدينة خليفة, جنوب غرب 1</t>
  </si>
  <si>
    <t>+97126565786</t>
  </si>
  <si>
    <t>vluna@alforsan.ae</t>
  </si>
  <si>
    <t>+971506218448</t>
  </si>
  <si>
    <t>+971528143263</t>
  </si>
  <si>
    <t>104213436900003</t>
  </si>
  <si>
    <t>VISI(E)ON AIR</t>
  </si>
  <si>
    <t>Brinksteeg 4, 3751 BR Bunschoten-Spakenburg, Netherlands</t>
  </si>
  <si>
    <t>Que WCC BV (VISI(E)ON AIR)</t>
  </si>
  <si>
    <t>Sportfive Sports Management LLC</t>
  </si>
  <si>
    <t>Dubai Media City Building 2 - 3rd Floor - Al Sufouh - Dubai Media City - Dubai</t>
  </si>
  <si>
    <t>+31 6 53276788</t>
  </si>
  <si>
    <t>paul@visieonair.com</t>
  </si>
  <si>
    <t>Tel: +31 6 2468 9949</t>
  </si>
  <si>
    <t>jutta@visieonair.com</t>
  </si>
  <si>
    <t>M +971 509192439</t>
  </si>
  <si>
    <t>Rami.FAWAZ@sportfive.com</t>
  </si>
  <si>
    <t>NL8534.97.710.B01</t>
  </si>
  <si>
    <t>104328401500003</t>
  </si>
  <si>
    <t>The Space Events And Sports L.L.C</t>
  </si>
  <si>
    <t>Office 501, Onyx Tower 2, The Green, Dubai Investments Park 2, DUBAI - UAE</t>
  </si>
  <si>
    <t>+971554125080</t>
  </si>
  <si>
    <t>100543423600003</t>
  </si>
  <si>
    <t>Trend art media</t>
  </si>
  <si>
    <t>Alzahia al slamen bulding zaid the first street</t>
  </si>
  <si>
    <t>UAE PRO LEAGUE - FOOTBALL</t>
  </si>
  <si>
    <t>P.O.Box: 54315, Abu Dhabi, UAE      </t>
  </si>
  <si>
    <t>D: +971-2-4044915</t>
  </si>
  <si>
    <t>ceo.office@uaeproleague.ae</t>
  </si>
  <si>
    <t>100355420900003</t>
  </si>
  <si>
    <t>PRICE</t>
  </si>
  <si>
    <t>GODOX s30</t>
  </si>
  <si>
    <t>Backdrop Clips</t>
  </si>
  <si>
    <t>Reflector holder</t>
  </si>
  <si>
    <t>Flopy Small</t>
  </si>
  <si>
    <t>Nanlite Pavo Tube 6C</t>
  </si>
  <si>
    <t>Chargers</t>
  </si>
  <si>
    <t>Sand Bag</t>
  </si>
  <si>
    <t>Headphone</t>
  </si>
  <si>
    <t>Audio Mixer Pr</t>
  </si>
  <si>
    <t>MKE-2 Nec mics</t>
  </si>
  <si>
    <t>G4 receivers</t>
  </si>
  <si>
    <t>G4 Transmitters</t>
  </si>
  <si>
    <t>Plugon</t>
  </si>
  <si>
    <t>G3 Hand mic</t>
  </si>
  <si>
    <t>G3 Receiver</t>
  </si>
  <si>
    <t>G3 receivers for cameras</t>
  </si>
  <si>
    <t>receiver mount bracket for cameras</t>
  </si>
  <si>
    <t>G4 receiver for producer/director</t>
  </si>
  <si>
    <t>Earphones/Headphone for producer/director</t>
  </si>
  <si>
    <t>416 Boom mic</t>
  </si>
  <si>
    <t>Boom pole</t>
  </si>
  <si>
    <t>Xlr to 3.5 cable</t>
  </si>
  <si>
    <t>3.5 to 3.5 cable</t>
  </si>
  <si>
    <t>Mixer battery</t>
  </si>
  <si>
    <t>XLR Cables 15 meters</t>
  </si>
  <si>
    <t>SILVER STAND</t>
  </si>
  <si>
    <t>Diffuser Frame 4*4</t>
  </si>
  <si>
    <t>jc@digitalfarm.ae</t>
  </si>
  <si>
    <t>COMPANY</t>
  </si>
  <si>
    <t>FINAL COST</t>
  </si>
  <si>
    <t>Quote Number</t>
  </si>
  <si>
    <t>ATTACHMENT</t>
  </si>
  <si>
    <t>Customized String Bag , Black Color with Spira
branding both sides</t>
  </si>
  <si>
    <t>AED</t>
  </si>
  <si>
    <t>05361-25</t>
  </si>
  <si>
    <t>QUOTE NUMBER</t>
  </si>
  <si>
    <t>Open PDF</t>
  </si>
  <si>
    <t>Blackmagic Videohub 40x40 12G</t>
  </si>
  <si>
    <t>DeckLink Quad 2</t>
  </si>
  <si>
    <t>Marshall CV504</t>
  </si>
  <si>
    <t>Ursa Brodcast G2</t>
  </si>
  <si>
    <t>PTZ Cameras (1-2)</t>
  </si>
  <si>
    <t>Shoulder cam</t>
  </si>
  <si>
    <t>Jib Camera</t>
  </si>
  <si>
    <t>Blackmagic HyperDeck Studio 4K Pro</t>
  </si>
  <si>
    <t>Blackmagic Mini Converter SDI to HDMI 6G</t>
  </si>
  <si>
    <t>APC Smart-UPS SRT3000RMXLA</t>
  </si>
  <si>
    <t>CCU Control Panel</t>
  </si>
  <si>
    <t>Teranex Mini Audio to SDI 12G</t>
  </si>
  <si>
    <t>Mini Converter SDI to Audio 4K</t>
  </si>
  <si>
    <t>Behringer Wing</t>
  </si>
  <si>
    <t>Behringer S32</t>
  </si>
  <si>
    <t xml:space="preserve">Dante Card ( Optional ) </t>
  </si>
  <si>
    <t>Studio Talent Sound</t>
  </si>
  <si>
    <t>DPA 4466 CORE</t>
  </si>
  <si>
    <t>Sennheiser EW-D SK Q1-6</t>
  </si>
  <si>
    <t>Sennheiser EW-DX EM 4 Dante Q1-9</t>
  </si>
  <si>
    <t>Sennheiser SR IEM G4 GB-Band</t>
  </si>
  <si>
    <t>Shure SE215 Pro CL</t>
  </si>
  <si>
    <t>KZ ZS10 Pro IEMs</t>
  </si>
  <si>
    <t>Hollyland Solidcom M1-8B</t>
  </si>
  <si>
    <t>Pixel Perfect</t>
  </si>
  <si>
    <t>UAE</t>
  </si>
  <si>
    <t>Not Provided</t>
  </si>
  <si>
    <t>Carlec Brio</t>
  </si>
  <si>
    <t>brio stagebox</t>
  </si>
  <si>
    <t>Madi Card</t>
  </si>
  <si>
    <t>Studio Taland Box</t>
  </si>
  <si>
    <t>DPA 4488</t>
  </si>
  <si>
    <t>Sennheiser SK500 G4 B-Band</t>
  </si>
  <si>
    <t>Sennheiser EM 300-500 G4 BW Band</t>
  </si>
  <si>
    <t>Sennheiser EW IEM G4 B-Band</t>
  </si>
  <si>
    <t>Audio Impliment in -ear</t>
  </si>
  <si>
    <t>Sennheiser LE 100 Pro</t>
  </si>
  <si>
    <t>Hollyland solidcom M1-8B</t>
  </si>
  <si>
    <t>Customer TRN</t>
  </si>
  <si>
    <t>Spira Water Botte - White</t>
  </si>
  <si>
    <t xml:space="preserve">SPIRASTRING BAG </t>
  </si>
  <si>
    <t>Al Forsan Intl Sport Resort</t>
  </si>
  <si>
    <t>P.O. Box 77823 Salam St,Abu Dhabi City UAEAbu Dhabi</t>
  </si>
  <si>
    <t>100289675900003</t>
  </si>
  <si>
    <t>mtumaodos@alforsan.ae</t>
  </si>
  <si>
    <t>97126565664</t>
  </si>
  <si>
    <t>CREATIVE RETAINER SERVICES</t>
  </si>
  <si>
    <t>Account Manager</t>
  </si>
  <si>
    <t xml:space="preserve">OPTIONAL -  PRODUCTION </t>
  </si>
  <si>
    <t xml:space="preserve">POST  PRODUCTION ( ESTIMATED OVER 4-6 WEEKS ) </t>
  </si>
  <si>
    <t>3d</t>
  </si>
  <si>
    <t>Subtitling Specialist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</si>
</sst>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1" formatCode="_-* #,##0_-;\-* #,##0_-;_-* &quot;-&quot;_-;_-@_-"/>
    <numFmt numFmtId="44" formatCode="_-&quot;AED&quot;* #,##0.00_-;\-&quot;AED&quot;* #,##0.00_-;_-&quot;AED&quot;* &quot;-&quot;??_-;_-@_-"/>
    <numFmt numFmtId="43" formatCode="_-* #,##0.00_-;\-* #,##0.00_-;_-* &quot;-&quot;??_-;_-@_-"/>
    <numFmt numFmtId="164" formatCode="[$AED]\ #,##0.00"/>
    <numFmt numFmtId="165" formatCode="[$-409]d\-mmm\-yyyy;@"/>
    <numFmt numFmtId="166" formatCode="[$-14C09]d\ mmm\ yyyy;@"/>
    <numFmt numFmtId="167" formatCode="_(* #,##0.00_);_(* \(#,##0.00\);_(* &quot;-&quot;??_);_(@_)"/>
    <numFmt numFmtId="168" formatCode="[$AED]\ #,##0"/>
  </numFmts>
  <fonts count="42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entury Gothic"/>
      <family val="2"/>
    </font>
    <font>
      <sz val="12"/>
      <color theme="1"/>
      <name val="Times New Roman"/>
      <family val="1"/>
    </font>
    <font>
      <sz val="10"/>
      <color theme="1"/>
      <name val="Century Gothic"/>
      <family val="2"/>
    </font>
    <font>
      <sz val="10"/>
      <color rgb="FF000000"/>
      <name val="Century Gothic"/>
      <family val="2"/>
    </font>
    <font>
      <b/>
      <sz val="10"/>
      <color theme="1"/>
      <name val="Century Gothic"/>
      <family val="2"/>
    </font>
    <font>
      <u/>
      <sz val="10"/>
      <color rgb="FF000000"/>
      <name val="Century Gothic"/>
      <family val="2"/>
    </font>
    <font>
      <b/>
      <sz val="9"/>
      <color theme="1"/>
      <name val="Century Gothic"/>
      <family val="2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6"/>
      <name val="Times New Roman"/>
      <family val="1"/>
    </font>
    <font>
      <b/>
      <sz val="20"/>
      <name val="Times New Roman"/>
      <family val="1"/>
    </font>
    <font>
      <b/>
      <sz val="10"/>
      <name val="Times New Roman"/>
      <family val="1"/>
    </font>
    <font>
      <b/>
      <sz val="14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b/>
      <sz val="11"/>
      <name val="Times New Roman"/>
      <family val="1"/>
    </font>
    <font>
      <sz val="11"/>
      <name val="Times New Roman"/>
      <family val="1"/>
    </font>
    <font>
      <b/>
      <sz val="12"/>
      <color theme="1"/>
      <name val="Times New Roman"/>
      <family val="1"/>
    </font>
    <font>
      <sz val="11"/>
      <name val="Calibri"/>
      <family val="2"/>
      <scheme val="minor"/>
    </font>
    <font>
      <b/>
      <i/>
      <sz val="15"/>
      <name val="Times New Roman"/>
      <family val="1"/>
    </font>
    <font>
      <b/>
      <sz val="12"/>
      <name val="Calibri"/>
      <family val="2"/>
      <scheme val="minor"/>
    </font>
    <font>
      <b/>
      <sz val="12"/>
      <color theme="0"/>
      <name val="Calibri"/>
      <family val="2"/>
      <scheme val="minor"/>
    </font>
    <font>
      <i/>
      <sz val="10"/>
      <name val="Calibri"/>
      <family val="2"/>
      <scheme val="minor"/>
    </font>
    <font>
      <i/>
      <sz val="10"/>
      <name val="Arial"/>
      <family val="2"/>
    </font>
    <font>
      <sz val="10"/>
      <name val="Calibri (Body)"/>
    </font>
    <font>
      <sz val="11"/>
      <color rgb="FF000000"/>
      <name val="Calibri"/>
      <family val="2"/>
      <scheme val="minor"/>
    </font>
    <font>
      <sz val="8"/>
      <name val="Calibri"/>
      <family val="2"/>
      <scheme val="minor"/>
    </font>
    <font>
      <sz val="12"/>
      <color rgb="FF000000"/>
      <name val="Calibri"/>
      <family val="2"/>
      <scheme val="minor"/>
    </font>
    <font>
      <u/>
      <sz val="12"/>
      <color theme="10"/>
      <name val="Calibri"/>
      <family val="2"/>
    </font>
    <font>
      <b/>
      <sz val="14"/>
      <color theme="1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b/>
      <sz val="16"/>
      <color rgb="FF000000"/>
      <name val="Calibri"/>
      <family val="2"/>
      <scheme val="minor"/>
    </font>
    <font>
      <b/>
      <sz val="10"/>
      <color rgb="FF000000"/>
      <name val="Century Gothic"/>
      <family val="2"/>
    </font>
    <font>
      <b/>
      <u/>
      <sz val="11"/>
      <color theme="1"/>
      <name val="Calibri"/>
      <family val="2"/>
      <scheme val="minor"/>
    </font>
    <font>
      <sz val="20"/>
      <color rgb="FF000000"/>
      <name val="Aptos Black"/>
      <family val="2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8102E"/>
        <bgColor theme="4"/>
      </patternFill>
    </fill>
    <fill>
      <patternFill patternType="solid">
        <fgColor rgb="FFC00000"/>
        <bgColor indexed="64"/>
      </patternFill>
    </fill>
  </fills>
  <borders count="40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</borders>
  <cellStyleXfs count="6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14" fillId="0" borderId="0"/>
    <xf numFmtId="167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4" fontId="14" fillId="0" borderId="0" applyFont="0" applyFill="0" applyBorder="0" applyAlignment="0" applyProtection="0"/>
  </cellStyleXfs>
  <cellXfs count="202">
    <xf numFmtId="0" fontId="0" fillId="0" borderId="0" xfId="0"/>
    <xf numFmtId="0" fontId="1" fillId="0" borderId="0" xfId="0" applyFont="1"/>
    <xf numFmtId="4" fontId="1" fillId="0" borderId="0" xfId="0" applyNumberFormat="1" applyFont="1"/>
    <xf numFmtId="0" fontId="4" fillId="0" borderId="0" xfId="0" applyFont="1"/>
    <xf numFmtId="0" fontId="4" fillId="0" borderId="0" xfId="0" applyFont="1" applyAlignment="1">
      <alignment horizontal="center"/>
    </xf>
    <xf numFmtId="4" fontId="4" fillId="0" borderId="0" xfId="0" applyNumberFormat="1" applyFont="1"/>
    <xf numFmtId="0" fontId="4" fillId="0" borderId="0" xfId="0" applyFont="1" applyAlignment="1">
      <alignment wrapText="1"/>
    </xf>
    <xf numFmtId="4" fontId="4" fillId="0" borderId="0" xfId="0" applyNumberFormat="1" applyFont="1" applyAlignment="1">
      <alignment horizontal="left"/>
    </xf>
    <xf numFmtId="4" fontId="4" fillId="0" borderId="0" xfId="0" applyNumberFormat="1" applyFont="1" applyAlignment="1">
      <alignment horizontal="right"/>
    </xf>
    <xf numFmtId="0" fontId="4" fillId="0" borderId="0" xfId="0" applyFont="1" applyAlignment="1">
      <alignment horizontal="left"/>
    </xf>
    <xf numFmtId="0" fontId="4" fillId="0" borderId="0" xfId="0" applyFont="1" applyAlignment="1">
      <alignment horizontal="right"/>
    </xf>
    <xf numFmtId="0" fontId="5" fillId="0" borderId="0" xfId="0" applyFont="1"/>
    <xf numFmtId="0" fontId="3" fillId="0" borderId="1" xfId="0" applyFont="1" applyBorder="1" applyAlignment="1">
      <alignment horizontal="center"/>
    </xf>
    <xf numFmtId="4" fontId="3" fillId="0" borderId="3" xfId="0" applyNumberFormat="1" applyFont="1" applyBorder="1" applyAlignment="1">
      <alignment horizontal="center"/>
    </xf>
    <xf numFmtId="4" fontId="3" fillId="0" borderId="1" xfId="0" applyNumberFormat="1" applyFont="1" applyBorder="1" applyAlignment="1">
      <alignment horizontal="center"/>
    </xf>
    <xf numFmtId="164" fontId="3" fillId="0" borderId="1" xfId="0" applyNumberFormat="1" applyFont="1" applyBorder="1" applyAlignment="1">
      <alignment horizontal="right"/>
    </xf>
    <xf numFmtId="0" fontId="3" fillId="0" borderId="0" xfId="0" applyFont="1"/>
    <xf numFmtId="0" fontId="6" fillId="0" borderId="0" xfId="0" applyFont="1"/>
    <xf numFmtId="0" fontId="7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9" fillId="0" borderId="0" xfId="0" applyFont="1"/>
    <xf numFmtId="0" fontId="8" fillId="0" borderId="0" xfId="0" applyFont="1" applyAlignment="1">
      <alignment horizontal="left" wrapText="1"/>
    </xf>
    <xf numFmtId="0" fontId="11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12" fillId="0" borderId="0" xfId="0" applyFont="1" applyAlignment="1">
      <alignment horizontal="center" vertical="center"/>
    </xf>
    <xf numFmtId="4" fontId="12" fillId="0" borderId="0" xfId="0" applyNumberFormat="1" applyFont="1" applyAlignment="1">
      <alignment vertical="center"/>
    </xf>
    <xf numFmtId="4" fontId="13" fillId="0" borderId="0" xfId="0" applyNumberFormat="1" applyFont="1" applyAlignment="1">
      <alignment vertical="center"/>
    </xf>
    <xf numFmtId="0" fontId="8" fillId="0" borderId="0" xfId="0" applyFont="1" applyAlignment="1">
      <alignment horizontal="left"/>
    </xf>
    <xf numFmtId="0" fontId="3" fillId="0" borderId="2" xfId="0" applyFont="1" applyBorder="1" applyAlignment="1">
      <alignment horizontal="right"/>
    </xf>
    <xf numFmtId="0" fontId="3" fillId="0" borderId="5" xfId="0" applyFont="1" applyBorder="1" applyAlignment="1">
      <alignment horizontal="right"/>
    </xf>
    <xf numFmtId="0" fontId="3" fillId="0" borderId="3" xfId="0" applyFont="1" applyBorder="1" applyAlignment="1">
      <alignment horizontal="right"/>
    </xf>
    <xf numFmtId="0" fontId="14" fillId="0" borderId="0" xfId="2"/>
    <xf numFmtId="0" fontId="14" fillId="3" borderId="0" xfId="2" applyFill="1"/>
    <xf numFmtId="0" fontId="18" fillId="2" borderId="15" xfId="2" applyFont="1" applyFill="1" applyBorder="1" applyAlignment="1">
      <alignment horizontal="center" vertical="center"/>
    </xf>
    <xf numFmtId="165" fontId="20" fillId="2" borderId="15" xfId="2" applyNumberFormat="1" applyFont="1" applyFill="1" applyBorder="1" applyAlignment="1" applyProtection="1">
      <alignment horizontal="center" vertical="center"/>
      <protection locked="0"/>
    </xf>
    <xf numFmtId="166" fontId="20" fillId="2" borderId="15" xfId="2" applyNumberFormat="1" applyFont="1" applyFill="1" applyBorder="1" applyAlignment="1" applyProtection="1">
      <alignment horizontal="center" vertical="center"/>
      <protection locked="0"/>
    </xf>
    <xf numFmtId="0" fontId="18" fillId="2" borderId="17" xfId="2" applyFont="1" applyFill="1" applyBorder="1" applyAlignment="1">
      <alignment vertical="center"/>
    </xf>
    <xf numFmtId="0" fontId="18" fillId="2" borderId="19" xfId="2" applyFont="1" applyFill="1" applyBorder="1" applyAlignment="1">
      <alignment vertical="center"/>
    </xf>
    <xf numFmtId="0" fontId="21" fillId="2" borderId="16" xfId="2" applyFont="1" applyFill="1" applyBorder="1" applyAlignment="1" applyProtection="1">
      <alignment vertical="center"/>
      <protection locked="0"/>
    </xf>
    <xf numFmtId="0" fontId="21" fillId="2" borderId="17" xfId="2" applyFont="1" applyFill="1" applyBorder="1" applyAlignment="1" applyProtection="1">
      <alignment vertical="center"/>
      <protection locked="0"/>
    </xf>
    <xf numFmtId="0" fontId="22" fillId="2" borderId="17" xfId="2" applyFont="1" applyFill="1" applyBorder="1" applyAlignment="1" applyProtection="1">
      <alignment vertical="center"/>
      <protection locked="0"/>
    </xf>
    <xf numFmtId="0" fontId="22" fillId="2" borderId="18" xfId="2" applyFont="1" applyFill="1" applyBorder="1" applyAlignment="1" applyProtection="1">
      <alignment vertical="center"/>
      <protection locked="0"/>
    </xf>
    <xf numFmtId="0" fontId="19" fillId="2" borderId="13" xfId="2" applyFont="1" applyFill="1" applyBorder="1" applyAlignment="1">
      <alignment horizontal="center" vertical="center"/>
    </xf>
    <xf numFmtId="0" fontId="19" fillId="2" borderId="14" xfId="2" applyFont="1" applyFill="1" applyBorder="1" applyAlignment="1">
      <alignment horizontal="center" vertical="center" wrapText="1"/>
    </xf>
    <xf numFmtId="0" fontId="19" fillId="2" borderId="14" xfId="2" applyFont="1" applyFill="1" applyBorder="1" applyAlignment="1">
      <alignment horizontal="center" vertical="center"/>
    </xf>
    <xf numFmtId="0" fontId="19" fillId="2" borderId="15" xfId="2" applyFont="1" applyFill="1" applyBorder="1" applyAlignment="1">
      <alignment horizontal="center" vertical="center" wrapText="1"/>
    </xf>
    <xf numFmtId="0" fontId="4" fillId="0" borderId="0" xfId="2" applyFont="1"/>
    <xf numFmtId="43" fontId="4" fillId="0" borderId="13" xfId="2" applyNumberFormat="1" applyFont="1" applyBorder="1" applyAlignment="1">
      <alignment horizontal="center" vertical="center"/>
    </xf>
    <xf numFmtId="43" fontId="6" fillId="0" borderId="13" xfId="2" applyNumberFormat="1" applyFont="1" applyBorder="1" applyAlignment="1">
      <alignment horizontal="center" vertical="center"/>
    </xf>
    <xf numFmtId="167" fontId="19" fillId="2" borderId="15" xfId="3" applyFont="1" applyFill="1" applyBorder="1" applyAlignment="1" applyProtection="1">
      <alignment horizontal="right" vertical="center"/>
    </xf>
    <xf numFmtId="9" fontId="19" fillId="2" borderId="13" xfId="2" applyNumberFormat="1" applyFont="1" applyFill="1" applyBorder="1" applyAlignment="1">
      <alignment horizontal="center" vertical="center"/>
    </xf>
    <xf numFmtId="0" fontId="6" fillId="0" borderId="13" xfId="2" applyFont="1" applyBorder="1" applyAlignment="1" applyProtection="1">
      <alignment horizontal="centerContinuous" vertical="center"/>
      <protection locked="0"/>
    </xf>
    <xf numFmtId="0" fontId="6" fillId="0" borderId="13" xfId="2" applyFont="1" applyBorder="1" applyAlignment="1">
      <alignment horizontal="centerContinuous" vertical="center"/>
    </xf>
    <xf numFmtId="167" fontId="6" fillId="0" borderId="13" xfId="3" applyFont="1" applyFill="1" applyBorder="1" applyAlignment="1" applyProtection="1">
      <alignment horizontal="centerContinuous" vertical="center"/>
      <protection locked="0"/>
    </xf>
    <xf numFmtId="167" fontId="6" fillId="0" borderId="14" xfId="3" applyFont="1" applyFill="1" applyBorder="1" applyAlignment="1" applyProtection="1">
      <alignment horizontal="centerContinuous" vertical="center"/>
      <protection locked="0"/>
    </xf>
    <xf numFmtId="167" fontId="6" fillId="0" borderId="15" xfId="3" applyFont="1" applyFill="1" applyBorder="1" applyAlignment="1" applyProtection="1">
      <alignment horizontal="centerContinuous" vertical="center"/>
      <protection locked="0"/>
    </xf>
    <xf numFmtId="0" fontId="23" fillId="0" borderId="17" xfId="2" applyFont="1" applyBorder="1" applyAlignment="1" applyProtection="1">
      <alignment horizontal="centerContinuous" vertical="center" wrapText="1"/>
      <protection locked="0"/>
    </xf>
    <xf numFmtId="0" fontId="23" fillId="0" borderId="18" xfId="2" applyFont="1" applyBorder="1" applyAlignment="1" applyProtection="1">
      <alignment horizontal="centerContinuous" vertical="center" wrapText="1"/>
      <protection locked="0"/>
    </xf>
    <xf numFmtId="0" fontId="2" fillId="0" borderId="0" xfId="1" quotePrefix="1" applyFill="1" applyBorder="1" applyAlignment="1" applyProtection="1"/>
    <xf numFmtId="0" fontId="3" fillId="0" borderId="3" xfId="0" applyFont="1" applyBorder="1" applyAlignment="1">
      <alignment horizontal="center"/>
    </xf>
    <xf numFmtId="0" fontId="27" fillId="4" borderId="37" xfId="0" applyFont="1" applyFill="1" applyBorder="1" applyAlignment="1" applyProtection="1">
      <alignment horizontal="center" vertical="center"/>
      <protection locked="0"/>
    </xf>
    <xf numFmtId="0" fontId="27" fillId="4" borderId="38" xfId="0" applyFont="1" applyFill="1" applyBorder="1" applyAlignment="1" applyProtection="1">
      <alignment horizontal="center" vertical="center"/>
      <protection locked="0"/>
    </xf>
    <xf numFmtId="168" fontId="28" fillId="0" borderId="13" xfId="0" applyNumberFormat="1" applyFont="1" applyBorder="1" applyAlignment="1" applyProtection="1">
      <alignment horizontal="left" vertical="center"/>
      <protection locked="0"/>
    </xf>
    <xf numFmtId="168" fontId="29" fillId="0" borderId="13" xfId="0" applyNumberFormat="1" applyFont="1" applyBorder="1" applyAlignment="1" applyProtection="1">
      <alignment horizontal="left" vertical="center" wrapText="1"/>
      <protection locked="0"/>
    </xf>
    <xf numFmtId="168" fontId="28" fillId="0" borderId="20" xfId="0" applyNumberFormat="1" applyFont="1" applyBorder="1" applyAlignment="1" applyProtection="1">
      <alignment horizontal="left" vertic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31" fillId="5" borderId="0" xfId="0" applyFont="1" applyFill="1" applyProtection="1">
      <protection locked="0"/>
    </xf>
    <xf numFmtId="0" fontId="2" fillId="0" borderId="0" xfId="1" applyAlignment="1" applyProtection="1">
      <protection locked="0"/>
    </xf>
    <xf numFmtId="0" fontId="2" fillId="0" borderId="0" xfId="1" quotePrefix="1" applyAlignment="1" applyProtection="1">
      <protection locked="0"/>
    </xf>
    <xf numFmtId="4" fontId="3" fillId="0" borderId="39" xfId="0" applyNumberFormat="1" applyFont="1" applyBorder="1" applyAlignment="1">
      <alignment horizontal="center"/>
    </xf>
    <xf numFmtId="0" fontId="3" fillId="0" borderId="2" xfId="0" applyFont="1" applyBorder="1"/>
    <xf numFmtId="0" fontId="3" fillId="0" borderId="5" xfId="0" applyFont="1" applyBorder="1"/>
    <xf numFmtId="0" fontId="4" fillId="0" borderId="3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/>
    </xf>
    <xf numFmtId="0" fontId="4" fillId="0" borderId="4" xfId="0" applyFont="1" applyBorder="1" applyAlignment="1">
      <alignment horizontal="center" vertical="center"/>
    </xf>
    <xf numFmtId="4" fontId="4" fillId="0" borderId="3" xfId="0" applyNumberFormat="1" applyFont="1" applyBorder="1" applyAlignment="1">
      <alignment horizontal="center"/>
    </xf>
    <xf numFmtId="4" fontId="4" fillId="0" borderId="1" xfId="0" applyNumberFormat="1" applyFont="1" applyBorder="1" applyAlignment="1">
      <alignment horizontal="center"/>
    </xf>
    <xf numFmtId="0" fontId="27" fillId="5" borderId="1" xfId="0" applyFont="1" applyFill="1" applyBorder="1" applyAlignment="1">
      <alignment horizontal="center" vertical="center"/>
    </xf>
    <xf numFmtId="0" fontId="27" fillId="5" borderId="3" xfId="0" applyFont="1" applyFill="1" applyBorder="1" applyAlignment="1">
      <alignment horizontal="center" vertical="center"/>
    </xf>
    <xf numFmtId="4" fontId="27" fillId="5" borderId="3" xfId="0" applyNumberFormat="1" applyFont="1" applyFill="1" applyBorder="1" applyAlignment="1">
      <alignment horizontal="center" vertical="center"/>
    </xf>
    <xf numFmtId="4" fontId="27" fillId="5" borderId="1" xfId="0" applyNumberFormat="1" applyFont="1" applyFill="1" applyBorder="1" applyAlignment="1">
      <alignment horizontal="center" vertical="center"/>
    </xf>
    <xf numFmtId="0" fontId="3" fillId="0" borderId="2" xfId="0" applyFont="1" applyBorder="1" applyAlignment="1">
      <alignment horizontal="centerContinuous"/>
    </xf>
    <xf numFmtId="0" fontId="3" fillId="0" borderId="5" xfId="0" applyFont="1" applyBorder="1" applyAlignment="1">
      <alignment horizontal="centerContinuous"/>
    </xf>
    <xf numFmtId="0" fontId="3" fillId="0" borderId="3" xfId="0" applyFont="1" applyBorder="1" applyAlignment="1">
      <alignment horizontal="centerContinuous"/>
    </xf>
    <xf numFmtId="9" fontId="6" fillId="0" borderId="13" xfId="2" applyNumberFormat="1" applyFont="1" applyBorder="1" applyAlignment="1">
      <alignment horizontal="center" vertical="center"/>
    </xf>
    <xf numFmtId="0" fontId="0" fillId="0" borderId="13" xfId="0" applyBorder="1"/>
    <xf numFmtId="0" fontId="33" fillId="0" borderId="0" xfId="0" applyFont="1" applyProtection="1">
      <protection locked="0"/>
    </xf>
    <xf numFmtId="0" fontId="33" fillId="0" borderId="0" xfId="0" quotePrefix="1" applyFont="1" applyProtection="1">
      <protection locked="0"/>
    </xf>
    <xf numFmtId="0" fontId="34" fillId="0" borderId="0" xfId="1" applyFont="1" applyAlignment="1" applyProtection="1">
      <protection locked="0"/>
    </xf>
    <xf numFmtId="0" fontId="4" fillId="0" borderId="0" xfId="0" applyFont="1" applyProtection="1">
      <protection locked="0"/>
    </xf>
    <xf numFmtId="0" fontId="4" fillId="0" borderId="0" xfId="0" quotePrefix="1" applyFont="1" applyProtection="1">
      <protection locked="0"/>
    </xf>
    <xf numFmtId="0" fontId="35" fillId="0" borderId="0" xfId="0" applyFont="1" applyAlignment="1">
      <alignment horizontal="centerContinuous"/>
    </xf>
    <xf numFmtId="0" fontId="36" fillId="0" borderId="0" xfId="0" applyFont="1" applyAlignment="1">
      <alignment horizontal="centerContinuous"/>
    </xf>
    <xf numFmtId="168" fontId="28" fillId="0" borderId="13" xfId="0" applyNumberFormat="1" applyFont="1" applyBorder="1" applyAlignment="1" applyProtection="1">
      <alignment horizontal="left"/>
      <protection locked="0"/>
    </xf>
    <xf numFmtId="0" fontId="1" fillId="0" borderId="13" xfId="0" applyFont="1" applyBorder="1" applyAlignment="1" applyProtection="1">
      <alignment horizontal="left"/>
      <protection locked="0"/>
    </xf>
    <xf numFmtId="0" fontId="38" fillId="0" borderId="0" xfId="0" applyFont="1" applyAlignment="1">
      <alignment horizontal="left" vertical="top" wrapText="1"/>
    </xf>
    <xf numFmtId="0" fontId="38" fillId="0" borderId="0" xfId="0" applyFont="1" applyAlignment="1">
      <alignment horizontal="left" vertical="top"/>
    </xf>
    <xf numFmtId="44" fontId="0" fillId="0" borderId="0" xfId="5" applyFont="1"/>
    <xf numFmtId="0" fontId="39" fillId="0" borderId="13" xfId="0" applyFont="1" applyBorder="1" applyAlignment="1">
      <alignment horizontal="center" vertical="center"/>
    </xf>
    <xf numFmtId="44" fontId="39" fillId="0" borderId="13" xfId="5" applyFont="1" applyBorder="1" applyAlignment="1">
      <alignment horizontal="center" vertical="center"/>
    </xf>
    <xf numFmtId="44" fontId="0" fillId="0" borderId="13" xfId="5" applyFont="1" applyBorder="1"/>
    <xf numFmtId="166" fontId="4" fillId="0" borderId="0" xfId="0" applyNumberFormat="1" applyFont="1" applyAlignment="1">
      <alignment horizontal="left"/>
    </xf>
    <xf numFmtId="1" fontId="4" fillId="0" borderId="0" xfId="0" applyNumberFormat="1" applyFont="1" applyAlignment="1">
      <alignment horizontal="left"/>
    </xf>
    <xf numFmtId="0" fontId="2" fillId="0" borderId="13" xfId="1" applyBorder="1" applyAlignment="1" applyProtection="1"/>
    <xf numFmtId="0" fontId="39" fillId="0" borderId="13" xfId="0" applyFont="1" applyBorder="1" applyAlignment="1">
      <alignment horizontal="left" vertical="center"/>
    </xf>
    <xf numFmtId="0" fontId="0" fillId="0" borderId="13" xfId="0" applyBorder="1" applyAlignment="1">
      <alignment horizontal="left"/>
    </xf>
    <xf numFmtId="0" fontId="0" fillId="0" borderId="0" xfId="0" applyAlignment="1">
      <alignment horizontal="left"/>
    </xf>
    <xf numFmtId="14" fontId="4" fillId="0" borderId="3" xfId="0" applyNumberFormat="1" applyFont="1" applyBorder="1" applyAlignment="1">
      <alignment horizontal="center" wrapText="1"/>
    </xf>
    <xf numFmtId="1" fontId="21" fillId="2" borderId="18" xfId="2" applyNumberFormat="1" applyFont="1" applyFill="1" applyBorder="1" applyAlignment="1" applyProtection="1">
      <alignment vertical="center"/>
      <protection locked="0"/>
    </xf>
    <xf numFmtId="41" fontId="4" fillId="0" borderId="13" xfId="2" applyNumberFormat="1" applyFont="1" applyBorder="1" applyAlignment="1">
      <alignment horizontal="center" vertical="center"/>
    </xf>
    <xf numFmtId="41" fontId="6" fillId="0" borderId="13" xfId="2" applyNumberFormat="1" applyFont="1" applyBorder="1" applyAlignment="1">
      <alignment horizontal="center" vertical="center"/>
    </xf>
    <xf numFmtId="0" fontId="23" fillId="0" borderId="16" xfId="2" applyFont="1" applyBorder="1" applyAlignment="1" applyProtection="1">
      <alignment horizontal="centerContinuous" vertical="center"/>
      <protection locked="0"/>
    </xf>
    <xf numFmtId="0" fontId="8" fillId="0" borderId="0" xfId="0" applyFont="1" applyAlignment="1">
      <alignment horizontal="left" wrapText="1"/>
    </xf>
    <xf numFmtId="0" fontId="8" fillId="0" borderId="0" xfId="0" applyFont="1" applyAlignment="1">
      <alignment horizontal="left"/>
    </xf>
    <xf numFmtId="0" fontId="38" fillId="0" borderId="0" xfId="0" applyFont="1" applyAlignment="1">
      <alignment horizontal="left" vertical="top" wrapText="1"/>
    </xf>
    <xf numFmtId="0" fontId="12" fillId="0" borderId="0" xfId="0" applyFont="1" applyAlignment="1">
      <alignment horizontal="center" vertical="center"/>
    </xf>
    <xf numFmtId="0" fontId="10" fillId="0" borderId="0" xfId="0" applyFont="1" applyAlignment="1">
      <alignment horizontal="left"/>
    </xf>
    <xf numFmtId="0" fontId="15" fillId="2" borderId="6" xfId="2" applyFont="1" applyFill="1" applyBorder="1" applyAlignment="1">
      <alignment horizontal="center"/>
    </xf>
    <xf numFmtId="0" fontId="15" fillId="2" borderId="7" xfId="2" applyFont="1" applyFill="1" applyBorder="1" applyAlignment="1">
      <alignment horizontal="center"/>
    </xf>
    <xf numFmtId="0" fontId="15" fillId="2" borderId="10" xfId="2" applyFont="1" applyFill="1" applyBorder="1" applyAlignment="1">
      <alignment horizontal="center"/>
    </xf>
    <xf numFmtId="0" fontId="15" fillId="2" borderId="11" xfId="2" applyFont="1" applyFill="1" applyBorder="1" applyAlignment="1">
      <alignment horizontal="center"/>
    </xf>
    <xf numFmtId="0" fontId="15" fillId="2" borderId="12" xfId="2" applyFont="1" applyFill="1" applyBorder="1" applyAlignment="1">
      <alignment horizontal="center"/>
    </xf>
    <xf numFmtId="0" fontId="15" fillId="2" borderId="13" xfId="2" applyFont="1" applyFill="1" applyBorder="1" applyAlignment="1">
      <alignment horizontal="center"/>
    </xf>
    <xf numFmtId="0" fontId="16" fillId="2" borderId="7" xfId="2" applyFont="1" applyFill="1" applyBorder="1" applyAlignment="1">
      <alignment horizontal="center" wrapText="1"/>
    </xf>
    <xf numFmtId="0" fontId="16" fillId="2" borderId="8" xfId="2" applyFont="1" applyFill="1" applyBorder="1" applyAlignment="1">
      <alignment horizontal="center" wrapText="1"/>
    </xf>
    <xf numFmtId="0" fontId="16" fillId="2" borderId="9" xfId="2" applyFont="1" applyFill="1" applyBorder="1" applyAlignment="1">
      <alignment horizontal="center" wrapText="1"/>
    </xf>
    <xf numFmtId="0" fontId="17" fillId="2" borderId="13" xfId="2" applyFont="1" applyFill="1" applyBorder="1" applyAlignment="1">
      <alignment horizontal="center"/>
    </xf>
    <xf numFmtId="0" fontId="17" fillId="2" borderId="14" xfId="2" applyFont="1" applyFill="1" applyBorder="1" applyAlignment="1">
      <alignment horizontal="center"/>
    </xf>
    <xf numFmtId="0" fontId="17" fillId="2" borderId="15" xfId="2" applyFont="1" applyFill="1" applyBorder="1" applyAlignment="1">
      <alignment horizontal="center"/>
    </xf>
    <xf numFmtId="0" fontId="18" fillId="2" borderId="13" xfId="2" applyFont="1" applyFill="1" applyBorder="1" applyAlignment="1">
      <alignment horizontal="center" wrapText="1"/>
    </xf>
    <xf numFmtId="0" fontId="18" fillId="2" borderId="14" xfId="2" applyFont="1" applyFill="1" applyBorder="1" applyAlignment="1">
      <alignment horizontal="center" wrapText="1"/>
    </xf>
    <xf numFmtId="0" fontId="18" fillId="2" borderId="15" xfId="2" applyFont="1" applyFill="1" applyBorder="1" applyAlignment="1">
      <alignment horizontal="center" wrapText="1"/>
    </xf>
    <xf numFmtId="0" fontId="18" fillId="2" borderId="16" xfId="2" applyFont="1" applyFill="1" applyBorder="1" applyAlignment="1">
      <alignment horizontal="left"/>
    </xf>
    <xf numFmtId="0" fontId="18" fillId="2" borderId="17" xfId="2" applyFont="1" applyFill="1" applyBorder="1" applyAlignment="1">
      <alignment horizontal="left"/>
    </xf>
    <xf numFmtId="0" fontId="18" fillId="2" borderId="18" xfId="2" applyFont="1" applyFill="1" applyBorder="1" applyAlignment="1">
      <alignment horizontal="left"/>
    </xf>
    <xf numFmtId="0" fontId="18" fillId="2" borderId="14" xfId="2" applyFont="1" applyFill="1" applyBorder="1" applyAlignment="1">
      <alignment horizontal="center" vertical="center"/>
    </xf>
    <xf numFmtId="0" fontId="18" fillId="2" borderId="18" xfId="2" applyFont="1" applyFill="1" applyBorder="1" applyAlignment="1">
      <alignment horizontal="center" vertical="center"/>
    </xf>
    <xf numFmtId="0" fontId="19" fillId="2" borderId="12" xfId="2" applyFont="1" applyFill="1" applyBorder="1" applyAlignment="1">
      <alignment horizontal="left"/>
    </xf>
    <xf numFmtId="0" fontId="19" fillId="2" borderId="13" xfId="2" applyFont="1" applyFill="1" applyBorder="1" applyAlignment="1">
      <alignment horizontal="left"/>
    </xf>
    <xf numFmtId="0" fontId="20" fillId="2" borderId="14" xfId="2" applyFont="1" applyFill="1" applyBorder="1" applyAlignment="1" applyProtection="1">
      <alignment horizontal="center" vertical="top"/>
      <protection locked="0"/>
    </xf>
    <xf numFmtId="0" fontId="20" fillId="2" borderId="17" xfId="2" applyFont="1" applyFill="1" applyBorder="1" applyAlignment="1" applyProtection="1">
      <alignment horizontal="center" vertical="top"/>
      <protection locked="0"/>
    </xf>
    <xf numFmtId="0" fontId="20" fillId="2" borderId="18" xfId="2" applyFont="1" applyFill="1" applyBorder="1" applyAlignment="1" applyProtection="1">
      <alignment horizontal="center" vertical="top"/>
      <protection locked="0"/>
    </xf>
    <xf numFmtId="49" fontId="6" fillId="0" borderId="12" xfId="2" applyNumberFormat="1" applyFont="1" applyBorder="1" applyAlignment="1" applyProtection="1">
      <alignment horizontal="center" vertical="center"/>
      <protection locked="0"/>
    </xf>
    <xf numFmtId="49" fontId="6" fillId="0" borderId="13" xfId="2" applyNumberFormat="1" applyFont="1" applyBorder="1" applyAlignment="1" applyProtection="1">
      <alignment horizontal="center" vertical="center"/>
      <protection locked="0"/>
    </xf>
    <xf numFmtId="0" fontId="20" fillId="2" borderId="14" xfId="2" applyFont="1" applyFill="1" applyBorder="1" applyAlignment="1" applyProtection="1">
      <alignment horizontal="center" vertical="center"/>
      <protection locked="0"/>
    </xf>
    <xf numFmtId="0" fontId="20" fillId="2" borderId="18" xfId="2" applyFont="1" applyFill="1" applyBorder="1" applyAlignment="1" applyProtection="1">
      <alignment horizontal="center" vertical="center"/>
      <protection locked="0"/>
    </xf>
    <xf numFmtId="0" fontId="19" fillId="2" borderId="12" xfId="2" applyFont="1" applyFill="1" applyBorder="1" applyAlignment="1">
      <alignment horizontal="left" vertical="center"/>
    </xf>
    <xf numFmtId="0" fontId="19" fillId="2" borderId="13" xfId="2" applyFont="1" applyFill="1" applyBorder="1" applyAlignment="1">
      <alignment horizontal="left" vertical="center"/>
    </xf>
    <xf numFmtId="0" fontId="2" fillId="2" borderId="14" xfId="1" applyFill="1" applyBorder="1" applyAlignment="1" applyProtection="1">
      <alignment horizontal="center"/>
      <protection locked="0"/>
    </xf>
    <xf numFmtId="0" fontId="2" fillId="2" borderId="17" xfId="1" applyFill="1" applyBorder="1" applyAlignment="1" applyProtection="1">
      <alignment horizontal="center"/>
      <protection locked="0"/>
    </xf>
    <xf numFmtId="0" fontId="2" fillId="2" borderId="18" xfId="1" applyFill="1" applyBorder="1" applyAlignment="1" applyProtection="1">
      <alignment horizontal="center"/>
      <protection locked="0"/>
    </xf>
    <xf numFmtId="0" fontId="18" fillId="2" borderId="17" xfId="2" applyFont="1" applyFill="1" applyBorder="1" applyAlignment="1">
      <alignment horizontal="center" vertical="center"/>
    </xf>
    <xf numFmtId="0" fontId="20" fillId="2" borderId="17" xfId="2" quotePrefix="1" applyFont="1" applyFill="1" applyBorder="1" applyAlignment="1">
      <alignment horizontal="center" vertical="center"/>
    </xf>
    <xf numFmtId="0" fontId="20" fillId="2" borderId="18" xfId="2" applyFont="1" applyFill="1" applyBorder="1" applyAlignment="1">
      <alignment horizontal="center" vertical="center"/>
    </xf>
    <xf numFmtId="1" fontId="20" fillId="2" borderId="13" xfId="2" applyNumberFormat="1" applyFont="1" applyFill="1" applyBorder="1" applyAlignment="1" applyProtection="1">
      <alignment horizontal="center" vertical="center"/>
      <protection locked="0"/>
    </xf>
    <xf numFmtId="1" fontId="20" fillId="2" borderId="14" xfId="2" applyNumberFormat="1" applyFont="1" applyFill="1" applyBorder="1" applyAlignment="1" applyProtection="1">
      <alignment horizontal="center" vertical="center"/>
      <protection locked="0"/>
    </xf>
    <xf numFmtId="1" fontId="20" fillId="2" borderId="15" xfId="2" applyNumberFormat="1" applyFont="1" applyFill="1" applyBorder="1" applyAlignment="1" applyProtection="1">
      <alignment horizontal="center" vertical="center"/>
      <protection locked="0"/>
    </xf>
    <xf numFmtId="0" fontId="19" fillId="2" borderId="12" xfId="2" applyFont="1" applyFill="1" applyBorder="1" applyAlignment="1">
      <alignment horizontal="center" vertical="center"/>
    </xf>
    <xf numFmtId="0" fontId="19" fillId="2" borderId="13" xfId="2" applyFont="1" applyFill="1" applyBorder="1" applyAlignment="1">
      <alignment horizontal="center" vertical="center"/>
    </xf>
    <xf numFmtId="14" fontId="6" fillId="0" borderId="12" xfId="2" applyNumberFormat="1" applyFont="1" applyBorder="1" applyAlignment="1" applyProtection="1">
      <alignment horizontal="center" vertical="center" wrapText="1"/>
      <protection locked="0"/>
    </xf>
    <xf numFmtId="0" fontId="6" fillId="0" borderId="13" xfId="2" applyFont="1" applyBorder="1" applyAlignment="1" applyProtection="1">
      <alignment horizontal="center" vertical="center" wrapText="1"/>
      <protection locked="0"/>
    </xf>
    <xf numFmtId="14" fontId="6" fillId="0" borderId="12" xfId="2" applyNumberFormat="1" applyFont="1" applyBorder="1" applyAlignment="1" applyProtection="1">
      <alignment horizontal="center" vertical="center"/>
      <protection locked="0"/>
    </xf>
    <xf numFmtId="0" fontId="6" fillId="0" borderId="13" xfId="2" applyFont="1" applyBorder="1" applyAlignment="1" applyProtection="1">
      <alignment horizontal="center" vertical="center"/>
      <protection locked="0"/>
    </xf>
    <xf numFmtId="0" fontId="19" fillId="2" borderId="16" xfId="2" applyFont="1" applyFill="1" applyBorder="1" applyAlignment="1">
      <alignment horizontal="left" vertical="center"/>
    </xf>
    <xf numFmtId="0" fontId="19" fillId="2" borderId="17" xfId="2" applyFont="1" applyFill="1" applyBorder="1" applyAlignment="1">
      <alignment horizontal="left" vertical="center"/>
    </xf>
    <xf numFmtId="0" fontId="19" fillId="2" borderId="14" xfId="2" applyFont="1" applyFill="1" applyBorder="1" applyAlignment="1">
      <alignment horizontal="center"/>
    </xf>
    <xf numFmtId="0" fontId="19" fillId="2" borderId="17" xfId="2" applyFont="1" applyFill="1" applyBorder="1" applyAlignment="1">
      <alignment horizontal="center"/>
    </xf>
    <xf numFmtId="0" fontId="19" fillId="2" borderId="18" xfId="2" applyFont="1" applyFill="1" applyBorder="1" applyAlignment="1">
      <alignment horizontal="center"/>
    </xf>
    <xf numFmtId="0" fontId="19" fillId="2" borderId="22" xfId="2" applyFont="1" applyFill="1" applyBorder="1" applyAlignment="1" applyProtection="1">
      <alignment horizontal="left" vertical="top" wrapText="1"/>
      <protection locked="0"/>
    </xf>
    <xf numFmtId="0" fontId="19" fillId="2" borderId="23" xfId="2" applyFont="1" applyFill="1" applyBorder="1" applyAlignment="1" applyProtection="1">
      <alignment horizontal="left" vertical="top" wrapText="1"/>
      <protection locked="0"/>
    </xf>
    <xf numFmtId="0" fontId="19" fillId="2" borderId="24" xfId="2" applyFont="1" applyFill="1" applyBorder="1" applyAlignment="1" applyProtection="1">
      <alignment horizontal="left" vertical="top" wrapText="1"/>
      <protection locked="0"/>
    </xf>
    <xf numFmtId="0" fontId="19" fillId="2" borderId="26" xfId="2" applyFont="1" applyFill="1" applyBorder="1" applyAlignment="1" applyProtection="1">
      <alignment horizontal="left" vertical="top" wrapText="1"/>
      <protection locked="0"/>
    </xf>
    <xf numFmtId="0" fontId="19" fillId="2" borderId="27" xfId="2" applyFont="1" applyFill="1" applyBorder="1" applyAlignment="1" applyProtection="1">
      <alignment horizontal="left" vertical="top" wrapText="1"/>
      <protection locked="0"/>
    </xf>
    <xf numFmtId="0" fontId="19" fillId="2" borderId="28" xfId="2" applyFont="1" applyFill="1" applyBorder="1" applyAlignment="1" applyProtection="1">
      <alignment horizontal="left" vertical="top" wrapText="1"/>
      <protection locked="0"/>
    </xf>
    <xf numFmtId="0" fontId="24" fillId="2" borderId="21" xfId="2" applyFont="1" applyFill="1" applyBorder="1" applyAlignment="1" applyProtection="1">
      <alignment horizontal="center"/>
      <protection locked="0"/>
    </xf>
    <xf numFmtId="0" fontId="24" fillId="2" borderId="23" xfId="2" applyFont="1" applyFill="1" applyBorder="1" applyAlignment="1" applyProtection="1">
      <alignment horizontal="center"/>
      <protection locked="0"/>
    </xf>
    <xf numFmtId="0" fontId="24" fillId="2" borderId="24" xfId="2" applyFont="1" applyFill="1" applyBorder="1" applyAlignment="1" applyProtection="1">
      <alignment horizontal="center"/>
      <protection locked="0"/>
    </xf>
    <xf numFmtId="0" fontId="24" fillId="2" borderId="29" xfId="2" applyFont="1" applyFill="1" applyBorder="1" applyAlignment="1" applyProtection="1">
      <alignment horizontal="center"/>
      <protection locked="0"/>
    </xf>
    <xf numFmtId="0" fontId="24" fillId="2" borderId="27" xfId="2" applyFont="1" applyFill="1" applyBorder="1" applyAlignment="1" applyProtection="1">
      <alignment horizontal="center"/>
      <protection locked="0"/>
    </xf>
    <xf numFmtId="0" fontId="24" fillId="2" borderId="28" xfId="2" applyFont="1" applyFill="1" applyBorder="1" applyAlignment="1" applyProtection="1">
      <alignment horizontal="center"/>
      <protection locked="0"/>
    </xf>
    <xf numFmtId="0" fontId="24" fillId="2" borderId="25" xfId="2" applyFont="1" applyFill="1" applyBorder="1" applyAlignment="1" applyProtection="1">
      <alignment horizontal="center"/>
      <protection locked="0"/>
    </xf>
    <xf numFmtId="0" fontId="24" fillId="2" borderId="30" xfId="2" applyFont="1" applyFill="1" applyBorder="1" applyAlignment="1" applyProtection="1">
      <alignment horizontal="center"/>
      <protection locked="0"/>
    </xf>
    <xf numFmtId="0" fontId="19" fillId="2" borderId="16" xfId="2" applyFont="1" applyFill="1" applyBorder="1" applyAlignment="1">
      <alignment horizontal="center" vertical="center"/>
    </xf>
    <xf numFmtId="0" fontId="19" fillId="2" borderId="17" xfId="2" applyFont="1" applyFill="1" applyBorder="1" applyAlignment="1">
      <alignment horizontal="center" vertical="center"/>
    </xf>
    <xf numFmtId="0" fontId="19" fillId="2" borderId="14" xfId="2" applyFont="1" applyFill="1" applyBorder="1" applyAlignment="1">
      <alignment horizontal="center" vertical="center"/>
    </xf>
    <xf numFmtId="0" fontId="19" fillId="2" borderId="18" xfId="2" applyFont="1" applyFill="1" applyBorder="1" applyAlignment="1">
      <alignment horizontal="center" vertical="center"/>
    </xf>
    <xf numFmtId="0" fontId="25" fillId="2" borderId="31" xfId="2" applyFont="1" applyFill="1" applyBorder="1" applyAlignment="1">
      <alignment horizontal="center" vertical="center"/>
    </xf>
    <xf numFmtId="0" fontId="25" fillId="2" borderId="32" xfId="2" applyFont="1" applyFill="1" applyBorder="1" applyAlignment="1">
      <alignment horizontal="center" vertical="center"/>
    </xf>
    <xf numFmtId="0" fontId="26" fillId="2" borderId="33" xfId="2" applyFont="1" applyFill="1" applyBorder="1" applyAlignment="1">
      <alignment horizontal="center" vertical="center"/>
    </xf>
    <xf numFmtId="0" fontId="26" fillId="2" borderId="34" xfId="2" applyFont="1" applyFill="1" applyBorder="1" applyAlignment="1">
      <alignment horizontal="center" vertical="center"/>
    </xf>
    <xf numFmtId="0" fontId="26" fillId="2" borderId="35" xfId="2" applyFont="1" applyFill="1" applyBorder="1" applyAlignment="1">
      <alignment horizontal="center" vertical="center"/>
    </xf>
    <xf numFmtId="0" fontId="26" fillId="2" borderId="36" xfId="2" applyFont="1" applyFill="1" applyBorder="1" applyAlignment="1">
      <alignment horizontal="center" vertical="center"/>
    </xf>
    <xf numFmtId="0" fontId="24" fillId="2" borderId="14" xfId="2" applyFont="1" applyFill="1" applyBorder="1" applyAlignment="1" applyProtection="1">
      <alignment horizontal="center"/>
      <protection locked="0"/>
    </xf>
    <xf numFmtId="0" fontId="24" fillId="2" borderId="17" xfId="2" applyFont="1" applyFill="1" applyBorder="1" applyAlignment="1" applyProtection="1">
      <alignment horizontal="center"/>
      <protection locked="0"/>
    </xf>
    <xf numFmtId="0" fontId="24" fillId="2" borderId="18" xfId="2" applyFont="1" applyFill="1" applyBorder="1" applyAlignment="1" applyProtection="1">
      <alignment horizontal="center"/>
      <protection locked="0"/>
    </xf>
    <xf numFmtId="0" fontId="24" fillId="2" borderId="19" xfId="2" applyFont="1" applyFill="1" applyBorder="1" applyAlignment="1" applyProtection="1">
      <alignment horizontal="center"/>
      <protection locked="0"/>
    </xf>
    <xf numFmtId="0" fontId="37" fillId="0" borderId="0" xfId="0" applyFont="1" applyAlignment="1">
      <alignment horizontal="center"/>
    </xf>
    <xf numFmtId="14" fontId="3" fillId="0" borderId="3" xfId="0" applyNumberFormat="1" applyFont="1" applyBorder="1" applyAlignment="1">
      <alignment horizontal="center" wrapText="1"/>
    </xf>
    <xf numFmtId="0" fontId="3" fillId="0" borderId="3" xfId="0" applyFont="1" applyBorder="1" applyAlignment="1">
      <alignment horizontal="center" vertical="center" wrapText="1"/>
    </xf>
    <xf numFmtId="0" fontId="41" fillId="0" borderId="3" xfId="0" applyFont="1" applyBorder="1" applyAlignment="1">
      <alignment horizontal="center" vertical="center" wrapText="1"/>
    </xf>
  </cellXfs>
  <cellStyles count="6">
    <cellStyle name="Comma 2" xfId="3" xr:uid="{124C94F9-591F-40C6-BE43-CF2AE522D248}"/>
    <cellStyle name="Currency" xfId="5" builtinId="4"/>
    <cellStyle name="Hyperlink" xfId="1" builtinId="8"/>
    <cellStyle name="Normal" xfId="0" builtinId="0"/>
    <cellStyle name="Normal 2" xfId="2" xr:uid="{716B6FD6-209C-4345-B4CB-14B13A596295}"/>
    <cellStyle name="Percent 2" xfId="4" xr:uid="{083FD864-B3E6-4460-8651-4D5D2A70A47E}"/>
  </cellStyles>
  <dxfs count="16">
    <dxf>
      <font>
        <strike val="0"/>
        <outline val="0"/>
        <shadow val="0"/>
        <vertAlign val="baseline"/>
        <sz val="12"/>
        <name val="Calibri"/>
        <family val="2"/>
      </font>
      <protection locked="0" hidden="0"/>
    </dxf>
    <dxf>
      <font>
        <strike val="0"/>
        <outline val="0"/>
        <shadow val="0"/>
        <vertAlign val="baseline"/>
        <sz val="12"/>
        <name val="Calibri"/>
        <family val="2"/>
      </font>
      <protection locked="0" hidden="0"/>
    </dxf>
    <dxf>
      <font>
        <strike val="0"/>
        <outline val="0"/>
        <shadow val="0"/>
        <vertAlign val="baseline"/>
        <sz val="12"/>
        <name val="Calibri"/>
        <family val="2"/>
      </font>
      <protection locked="0" hidden="0"/>
    </dxf>
    <dxf>
      <font>
        <strike val="0"/>
        <outline val="0"/>
        <shadow val="0"/>
        <vertAlign val="baseline"/>
        <sz val="12"/>
        <name val="Calibri"/>
        <family val="2"/>
      </font>
      <protection locked="0" hidden="0"/>
    </dxf>
    <dxf>
      <font>
        <strike val="0"/>
        <outline val="0"/>
        <shadow val="0"/>
        <vertAlign val="baseline"/>
        <sz val="12"/>
        <name val="Calibri"/>
        <family val="2"/>
      </font>
      <protection locked="0" hidden="0"/>
    </dxf>
    <dxf>
      <font>
        <strike val="0"/>
        <outline val="0"/>
        <shadow val="0"/>
        <vertAlign val="baseline"/>
        <sz val="12"/>
        <name val="Calibri"/>
        <family val="2"/>
      </font>
      <protection locked="0" hidden="0"/>
    </dxf>
    <dxf>
      <font>
        <strike val="0"/>
        <outline val="0"/>
        <shadow val="0"/>
        <vertAlign val="baseline"/>
        <sz val="12"/>
        <name val="Calibri"/>
        <family val="2"/>
      </font>
      <protection locked="0" hidden="0"/>
    </dxf>
    <dxf>
      <font>
        <strike val="0"/>
        <outline val="0"/>
        <shadow val="0"/>
        <vertAlign val="baseline"/>
        <sz val="12"/>
        <name val="Calibri"/>
        <family val="2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C00000"/>
        </patternFill>
      </fill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8" formatCode="[$AED]\ #,##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0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family val="2"/>
      </font>
      <fill>
        <patternFill patternType="none">
          <fgColor indexed="64"/>
          <bgColor auto="1"/>
        </patternFill>
      </fill>
      <alignment horizontal="left" textRotation="0" indent="0" justifyLastLine="0" shrinkToFit="0" readingOrder="0"/>
      <protection locked="0" hidden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theme="4"/>
          <bgColor rgb="FFC8102E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</border>
      <protection locked="0" hidden="0"/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3" Type="http://schemas.microsoft.com/office/2007/relationships/hdphoto" Target="../media/hdphoto1.wdp"/><Relationship Id="rId7" Type="http://schemas.openxmlformats.org/officeDocument/2006/relationships/hyperlink" Target="http://www.mediamania.tv" TargetMode="External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6" Type="http://schemas.microsoft.com/office/2007/relationships/hdphoto" Target="../media/hdphoto2.wdp"/><Relationship Id="rId5" Type="http://schemas.openxmlformats.org/officeDocument/2006/relationships/image" Target="../media/image3.png"/><Relationship Id="rId10" Type="http://schemas.openxmlformats.org/officeDocument/2006/relationships/image" Target="../media/image5.png"/><Relationship Id="rId4" Type="http://schemas.openxmlformats.org/officeDocument/2006/relationships/hyperlink" Target="https://www.instagram.com/mediamaniaproduction?igsh=bDl0aHI4eWxlanpm" TargetMode="External"/><Relationship Id="rId9" Type="http://schemas.openxmlformats.org/officeDocument/2006/relationships/hyperlink" Target="https://wa.me/971509535979?text=I%20would%20like%20to%20get%20help%20" TargetMode="Externa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jpeg"/><Relationship Id="rId2" Type="http://schemas.openxmlformats.org/officeDocument/2006/relationships/image" Target="../media/image1.jpeg"/><Relationship Id="rId1" Type="http://schemas.openxmlformats.org/officeDocument/2006/relationships/image" Target="../media/image8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jpeg"/><Relationship Id="rId1" Type="http://schemas.openxmlformats.org/officeDocument/2006/relationships/image" Target="../media/image6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533400</xdr:colOff>
      <xdr:row>776</xdr:row>
      <xdr:rowOff>19050</xdr:rowOff>
    </xdr:from>
    <xdr:to>
      <xdr:col>1</xdr:col>
      <xdr:colOff>1895475</xdr:colOff>
      <xdr:row>777</xdr:row>
      <xdr:rowOff>263128</xdr:rowOff>
    </xdr:to>
    <xdr:pic>
      <xdr:nvPicPr>
        <xdr:cNvPr id="4" name="Picture 6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3400" y="11344275"/>
          <a:ext cx="1981200" cy="5107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1611084</xdr:colOff>
      <xdr:row>771</xdr:row>
      <xdr:rowOff>117022</xdr:rowOff>
    </xdr:from>
    <xdr:to>
      <xdr:col>2</xdr:col>
      <xdr:colOff>150877</xdr:colOff>
      <xdr:row>777</xdr:row>
      <xdr:rowOff>185058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5060" b="94643" l="5158" r="92837">
                      <a14:foregroundMark x1="14900" y1="58631" x2="16905" y2="27381"/>
                      <a14:foregroundMark x1="16905" y1="27381" x2="59026" y2="7143"/>
                      <a14:foregroundMark x1="83954" y1="32143" x2="81948" y2="66369"/>
                      <a14:foregroundMark x1="81948" y1="66369" x2="76791" y2="73810"/>
                      <a14:foregroundMark x1="35817" y1="91071" x2="68481" y2="87798"/>
                      <a14:foregroundMark x1="68481" y1="87798" x2="70201" y2="86310"/>
                      <a14:foregroundMark x1="58166" y1="6250" x2="38968" y2="5357"/>
                      <a14:foregroundMark x1="40688" y1="23810" x2="43840" y2="60417"/>
                      <a14:foregroundMark x1="52722" y1="57143" x2="54155" y2="63690"/>
                      <a14:foregroundMark x1="29226" y1="55357" x2="65043" y2="60119"/>
                      <a14:foregroundMark x1="65043" y1="60119" x2="34097" y2="71131"/>
                      <a14:foregroundMark x1="34097" y1="71131" x2="28653" y2="52083"/>
                      <a14:foregroundMark x1="55874" y1="55357" x2="55014" y2="58631"/>
                      <a14:foregroundMark x1="63037" y1="39583" x2="71060" y2="47024"/>
                      <a14:foregroundMark x1="34097" y1="28571" x2="28653" y2="51190"/>
                      <a14:foregroundMark x1="92837" y1="41071" x2="89398" y2="60417"/>
                      <a14:foregroundMark x1="5158" y1="41071" x2="5158" y2="43750"/>
                      <a14:foregroundMark x1="48711" y1="94643" x2="48711" y2="94643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45870" y="10676165"/>
          <a:ext cx="1696650" cy="163285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2653394</xdr:colOff>
      <xdr:row>778</xdr:row>
      <xdr:rowOff>204107</xdr:rowOff>
    </xdr:from>
    <xdr:to>
      <xdr:col>2</xdr:col>
      <xdr:colOff>75143</xdr:colOff>
      <xdr:row>781</xdr:row>
      <xdr:rowOff>0</xdr:rowOff>
    </xdr:to>
    <xdr:pic>
      <xdr:nvPicPr>
        <xdr:cNvPr id="2" name="dimg__E0saKmjCPCVxc8PzLGz0QE_6" descr="Instagram transparent icon in Simple Small Style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047ABFA-45C6-72D2-7C69-1E17B92FCC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backgroundRemoval t="1563" b="89063" l="6863" r="89706">
                      <a14:foregroundMark x1="65686" y1="34896" x2="63725" y2="25000"/>
                      <a14:foregroundMark x1="49510" y1="27604" x2="30392" y2="42708"/>
                      <a14:foregroundMark x1="32843" y1="40104" x2="42157" y2="59896"/>
                      <a14:foregroundMark x1="42157" y1="47396" x2="56373" y2="59896"/>
                      <a14:foregroundMark x1="18627" y1="34896" x2="18627" y2="52604"/>
                      <a14:foregroundMark x1="25980" y1="17708" x2="21078" y2="77604"/>
                      <a14:foregroundMark x1="6863" y1="30208" x2="6863" y2="59896"/>
                      <a14:foregroundMark x1="9804" y1="19792" x2="67647" y2="82813"/>
                      <a14:foregroundMark x1="67647" y1="82813" x2="18137" y2="10417"/>
                      <a14:foregroundMark x1="18137" y1="10417" x2="13235" y2="16146"/>
                      <a14:foregroundMark x1="46569" y1="26563" x2="34314" y2="33333"/>
                      <a14:foregroundMark x1="37255" y1="33333" x2="31373" y2="38542"/>
                      <a14:foregroundMark x1="28922" y1="41667" x2="28922" y2="44792"/>
                      <a14:foregroundMark x1="28922" y1="44792" x2="29902" y2="48438"/>
                      <a14:foregroundMark x1="29902" y1="48958" x2="30882" y2="51563"/>
                      <a14:foregroundMark x1="31373" y1="54167" x2="31373" y2="54167"/>
                      <a14:foregroundMark x1="32353" y1="57292" x2="32843" y2="59375"/>
                      <a14:foregroundMark x1="32843" y1="60417" x2="33824" y2="63542"/>
                      <a14:foregroundMark x1="33824" y1="64063" x2="33824" y2="64063"/>
                      <a14:foregroundMark x1="38235" y1="65625" x2="38235" y2="65625"/>
                      <a14:foregroundMark x1="41176" y1="67188" x2="41176" y2="67188"/>
                      <a14:foregroundMark x1="42647" y1="67188" x2="46078" y2="67188"/>
                      <a14:foregroundMark x1="60784" y1="59375" x2="60784" y2="59375"/>
                      <a14:foregroundMark x1="62255" y1="56771" x2="62255" y2="56771"/>
                      <a14:foregroundMark x1="69118" y1="50000" x2="69118" y2="50000"/>
                      <a14:foregroundMark x1="62255" y1="48958" x2="62255" y2="51563"/>
                      <a14:foregroundMark x1="62745" y1="52083" x2="64216" y2="55729"/>
                      <a14:foregroundMark x1="64706" y1="50000" x2="65686" y2="45313"/>
                      <a14:foregroundMark x1="65686" y1="43750" x2="65686" y2="43750"/>
                      <a14:foregroundMark x1="62745" y1="36979" x2="62745" y2="36979"/>
                      <a14:foregroundMark x1="60784" y1="34375" x2="60784" y2="34375"/>
                      <a14:foregroundMark x1="59314" y1="32813" x2="59314" y2="32813"/>
                      <a14:foregroundMark x1="55392" y1="29167" x2="55392" y2="29167"/>
                      <a14:foregroundMark x1="57353" y1="18229" x2="57353" y2="18229"/>
                      <a14:foregroundMark x1="52941" y1="17708" x2="52941" y2="17708"/>
                      <a14:foregroundMark x1="47549" y1="14583" x2="47549" y2="14583"/>
                      <a14:foregroundMark x1="47549" y1="14583" x2="47549" y2="14583"/>
                      <a14:foregroundMark x1="47549" y1="14583" x2="47549" y2="14583"/>
                      <a14:foregroundMark x1="50980" y1="17708" x2="50980" y2="17708"/>
                      <a14:foregroundMark x1="51471" y1="18229" x2="51471" y2="18229"/>
                      <a14:foregroundMark x1="50980" y1="18229" x2="50980" y2="18229"/>
                      <a14:foregroundMark x1="47549" y1="18229" x2="47549" y2="18229"/>
                      <a14:foregroundMark x1="47549" y1="18229" x2="47549" y2="18229"/>
                      <a14:foregroundMark x1="49510" y1="10938" x2="39216" y2="11458"/>
                      <a14:foregroundMark x1="50980" y1="17708" x2="36275" y2="20833"/>
                      <a14:foregroundMark x1="57353" y1="16146" x2="46078" y2="10417"/>
                      <a14:foregroundMark x1="69608" y1="17188" x2="75490" y2="43750"/>
                      <a14:foregroundMark x1="77451" y1="34375" x2="81373" y2="52083"/>
                      <a14:foregroundMark x1="8824" y1="60417" x2="9314" y2="63542"/>
                      <a14:foregroundMark x1="12255" y1="66146" x2="12255" y2="66146"/>
                      <a14:foregroundMark x1="12745" y1="69271" x2="12745" y2="72917"/>
                      <a14:foregroundMark x1="12745" y1="72917" x2="12745" y2="76563"/>
                      <a14:foregroundMark x1="8824" y1="66146" x2="8824" y2="69271"/>
                      <a14:foregroundMark x1="11275" y1="73958" x2="11275" y2="73958"/>
                      <a14:foregroundMark x1="12745" y1="75521" x2="13235" y2="77604"/>
                      <a14:foregroundMark x1="13235" y1="78125" x2="15686" y2="79167"/>
                      <a14:foregroundMark x1="17157" y1="79688" x2="17157" y2="79688"/>
                      <a14:foregroundMark x1="18137" y1="80729" x2="18137" y2="80729"/>
                      <a14:foregroundMark x1="12745" y1="64063" x2="12745" y2="64063"/>
                      <a14:foregroundMark x1="13235" y1="64063" x2="13235" y2="64063"/>
                      <a14:foregroundMark x1="14216" y1="67188" x2="14216" y2="67188"/>
                      <a14:foregroundMark x1="14216" y1="68750" x2="14216" y2="68750"/>
                      <a14:foregroundMark x1="12745" y1="64063" x2="12745" y2="64063"/>
                      <a14:foregroundMark x1="12745" y1="64063" x2="18137" y2="73958"/>
                      <a14:foregroundMark x1="15686" y1="78125" x2="31373" y2="85938"/>
                      <a14:foregroundMark x1="25490" y1="84375" x2="71078" y2="83333"/>
                      <a14:foregroundMark x1="70588" y1="86458" x2="83824" y2="48438"/>
                      <a14:foregroundMark x1="67647" y1="83333" x2="80392" y2="76563"/>
                      <a14:foregroundMark x1="79412" y1="77604" x2="82843" y2="64063"/>
                      <a14:foregroundMark x1="90686" y1="63542" x2="90686" y2="63542"/>
                      <a14:foregroundMark x1="82353" y1="17708" x2="82353" y2="75521"/>
                      <a14:foregroundMark x1="82353" y1="20833" x2="55392" y2="9375"/>
                      <a14:foregroundMark x1="17157" y1="12500" x2="77451" y2="13021"/>
                      <a14:foregroundMark x1="75490" y1="10417" x2="75490" y2="10417"/>
                      <a14:foregroundMark x1="75490" y1="10417" x2="75490" y2="10417"/>
                      <a14:foregroundMark x1="70588" y1="10417" x2="68137" y2="10417"/>
                      <a14:foregroundMark x1="63725" y1="8854" x2="63725" y2="8854"/>
                      <a14:foregroundMark x1="59314" y1="7292" x2="59314" y2="7292"/>
                      <a14:foregroundMark x1="55882" y1="7292" x2="51471" y2="7292"/>
                      <a14:foregroundMark x1="50490" y1="7292" x2="50490" y2="7292"/>
                      <a14:foregroundMark x1="45588" y1="7292" x2="45588" y2="7292"/>
                      <a14:foregroundMark x1="39216" y1="7292" x2="34804" y2="7292"/>
                      <a14:foregroundMark x1="32353" y1="7813" x2="32353" y2="7813"/>
                      <a14:foregroundMark x1="29902" y1="8854" x2="29902" y2="8854"/>
                      <a14:foregroundMark x1="64216" y1="7292" x2="64216" y2="7292"/>
                      <a14:foregroundMark x1="64216" y1="7292" x2="64216" y2="7292"/>
                      <a14:foregroundMark x1="67647" y1="7813" x2="67647" y2="7813"/>
                      <a14:foregroundMark x1="62255" y1="5208" x2="62255" y2="5208"/>
                      <a14:foregroundMark x1="62745" y1="4167" x2="62745" y2="4167"/>
                      <a14:foregroundMark x1="62745" y1="4167" x2="62745" y2="4167"/>
                      <a14:foregroundMark x1="65686" y1="5729" x2="65686" y2="5729"/>
                      <a14:foregroundMark x1="66176" y1="5729" x2="66176" y2="5729"/>
                      <a14:foregroundMark x1="67157" y1="6250" x2="67157" y2="6250"/>
                      <a14:foregroundMark x1="71078" y1="8854" x2="77451" y2="13021"/>
                      <a14:foregroundMark x1="80882" y1="15625" x2="80882" y2="15625"/>
                      <a14:foregroundMark x1="75490" y1="14063" x2="75490" y2="14063"/>
                      <a14:foregroundMark x1="83824" y1="76563" x2="83824" y2="76563"/>
                      <a14:foregroundMark x1="81373" y1="75521" x2="81373" y2="75521"/>
                      <a14:foregroundMark x1="82843" y1="77604" x2="82843" y2="77604"/>
                      <a14:foregroundMark x1="82353" y1="77604" x2="82353" y2="77604"/>
                      <a14:foregroundMark x1="81373" y1="77604" x2="81373" y2="77604"/>
                      <a14:foregroundMark x1="81373" y1="77604" x2="81373" y2="77604"/>
                      <a14:foregroundMark x1="64706" y1="5729" x2="64706" y2="5729"/>
                      <a14:foregroundMark x1="63725" y1="4688" x2="63725" y2="4688"/>
                      <a14:foregroundMark x1="60294" y1="4688" x2="60294" y2="4688"/>
                      <a14:foregroundMark x1="60294" y1="4688" x2="60294" y2="4688"/>
                      <a14:foregroundMark x1="65686" y1="6771" x2="65686" y2="6771"/>
                      <a14:foregroundMark x1="67647" y1="7292" x2="67647" y2="7292"/>
                      <a14:foregroundMark x1="65686" y1="7292" x2="65686" y2="7292"/>
                      <a14:foregroundMark x1="61765" y1="6771" x2="61765" y2="6771"/>
                      <a14:foregroundMark x1="61765" y1="6771" x2="61765" y2="6771"/>
                      <a14:foregroundMark x1="61765" y1="6771" x2="61765" y2="6771"/>
                      <a14:foregroundMark x1="60294" y1="1563" x2="60294" y2="1563"/>
                      <a14:foregroundMark x1="60294" y1="1563" x2="60294" y2="1563"/>
                      <a14:foregroundMark x1="63725" y1="4688" x2="63725" y2="4688"/>
                      <a14:foregroundMark x1="64706" y1="4688" x2="64706" y2="4688"/>
                      <a14:foregroundMark x1="64706" y1="4688" x2="64706" y2="4688"/>
                      <a14:foregroundMark x1="64706" y1="4688" x2="64706" y2="4688"/>
                      <a14:foregroundMark x1="64706" y1="4688" x2="64706" y2="4688"/>
                      <a14:foregroundMark x1="62745" y1="4688" x2="62745" y2="4688"/>
                      <a14:foregroundMark x1="61275" y1="4688" x2="61275" y2="4688"/>
                      <a14:foregroundMark x1="61275" y1="4688" x2="61275" y2="4688"/>
                      <a14:foregroundMark x1="61275" y1="4688" x2="61275" y2="4688"/>
                      <a14:foregroundMark x1="64706" y1="8333" x2="69608" y2="12500"/>
                      <a14:foregroundMark x1="63725" y1="4688" x2="62745" y2="7292"/>
                      <a14:foregroundMark x1="59314" y1="1563" x2="65686" y2="2604"/>
                      <a14:foregroundMark x1="87255" y1="64063" x2="78922" y2="80729"/>
                      <a14:backgroundMark x1="94118" y1="34896" x2="94118" y2="34896"/>
                      <a14:backgroundMark x1="94118" y1="59896" x2="94118" y2="59896"/>
                      <a14:backgroundMark x1="94118" y1="59896" x2="94118" y2="52604"/>
                      <a14:backgroundMark x1="96569" y1="47396" x2="96569" y2="0"/>
                      <a14:backgroundMark x1="83671" y1="83193" x2="84804" y2="97396"/>
                      <a14:backgroundMark x1="78025" y1="12399" x2="78052" y2="12738"/>
                      <a14:backgroundMark x1="14815" y1="87080" x2="0" y2="84896"/>
                      <a14:backgroundMark x1="84804" y1="97396" x2="43831" y2="91356"/>
                      <a14:backgroundMark x1="5085" y1="77515" x2="5741" y2="76563"/>
                      <a14:backgroundMark x1="0" y1="84896" x2="4739" y2="78018"/>
                      <a14:backgroundMark x1="74192" y1="5208" x2="74446" y2="5208"/>
                      <a14:backgroundMark x1="67468" y1="5208" x2="67989" y2="5208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88180" y="12355286"/>
          <a:ext cx="578606" cy="54428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163286</xdr:colOff>
      <xdr:row>778</xdr:row>
      <xdr:rowOff>174172</xdr:rowOff>
    </xdr:from>
    <xdr:to>
      <xdr:col>3</xdr:col>
      <xdr:colOff>342505</xdr:colOff>
      <xdr:row>780</xdr:row>
      <xdr:rowOff>195943</xdr:rowOff>
    </xdr:to>
    <xdr:pic>
      <xdr:nvPicPr>
        <xdr:cNvPr id="3" name="dimg_Fk8saIrXA4aF7NYPlNbQ-Ag_17" descr="Website - Free web icon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618776E1-4474-7A8D-1CB2-55D4BE2916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60372" y="12159343"/>
          <a:ext cx="549333" cy="55517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59872</xdr:colOff>
      <xdr:row>778</xdr:row>
      <xdr:rowOff>190500</xdr:rowOff>
    </xdr:from>
    <xdr:to>
      <xdr:col>4</xdr:col>
      <xdr:colOff>604158</xdr:colOff>
      <xdr:row>781</xdr:row>
      <xdr:rowOff>2002</xdr:rowOff>
    </xdr:to>
    <xdr:pic>
      <xdr:nvPicPr>
        <xdr:cNvPr id="5" name="dimg_R08saMb7GtiPxc8PiJitqAc_9" descr="Whatsapp Icons, Logos, Symbols – Free Download PNG, SVG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3D5F8DCD-0D02-E33E-1FC0-6F5DFA2D85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7186" y="12175671"/>
          <a:ext cx="544286" cy="5490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295275</xdr:colOff>
          <xdr:row>3</xdr:row>
          <xdr:rowOff>123825</xdr:rowOff>
        </xdr:from>
        <xdr:to>
          <xdr:col>16</xdr:col>
          <xdr:colOff>57150</xdr:colOff>
          <xdr:row>6</xdr:row>
          <xdr:rowOff>66675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IN" sz="2000" b="0" i="0" u="none" strike="noStrike" baseline="0">
                  <a:solidFill>
                    <a:srgbClr val="000000"/>
                  </a:solidFill>
                  <a:latin typeface="Aptos Black"/>
                </a:rPr>
                <a:t>Save As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295275</xdr:colOff>
          <xdr:row>7</xdr:row>
          <xdr:rowOff>0</xdr:rowOff>
        </xdr:from>
        <xdr:to>
          <xdr:col>16</xdr:col>
          <xdr:colOff>57150</xdr:colOff>
          <xdr:row>10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IN" sz="2000" b="0" i="0" u="none" strike="noStrike" baseline="0">
                  <a:solidFill>
                    <a:srgbClr val="000000"/>
                  </a:solidFill>
                  <a:latin typeface="Aptos Black"/>
                </a:rPr>
                <a:t>Send The 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266700</xdr:colOff>
          <xdr:row>10</xdr:row>
          <xdr:rowOff>247650</xdr:rowOff>
        </xdr:from>
        <xdr:to>
          <xdr:col>16</xdr:col>
          <xdr:colOff>28575</xdr:colOff>
          <xdr:row>703</xdr:row>
          <xdr:rowOff>180975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IN" sz="2000" b="0" i="0" u="none" strike="noStrike" baseline="0">
                  <a:solidFill>
                    <a:srgbClr val="000000"/>
                  </a:solidFill>
                  <a:latin typeface="Aptos Black"/>
                </a:rPr>
                <a:t>New Quote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266700</xdr:colOff>
          <xdr:row>704</xdr:row>
          <xdr:rowOff>200025</xdr:rowOff>
        </xdr:from>
        <xdr:to>
          <xdr:col>16</xdr:col>
          <xdr:colOff>28575</xdr:colOff>
          <xdr:row>707</xdr:row>
          <xdr:rowOff>200025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IN" sz="2000" b="0" i="0" u="none" strike="noStrike" baseline="0">
                  <a:solidFill>
                    <a:srgbClr val="000000"/>
                  </a:solidFill>
                  <a:latin typeface="Aptos Black"/>
                </a:rPr>
                <a:t>Save The Excel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83820</xdr:colOff>
      <xdr:row>0</xdr:row>
      <xdr:rowOff>60960</xdr:rowOff>
    </xdr:from>
    <xdr:ext cx="1054095" cy="1047614"/>
    <xdr:pic>
      <xdr:nvPicPr>
        <xdr:cNvPr id="3" name="Picture 2" descr="logo to saj">
          <a:extLst>
            <a:ext uri="{FF2B5EF4-FFF2-40B4-BE49-F238E27FC236}">
              <a16:creationId xmlns:a16="http://schemas.microsoft.com/office/drawing/2014/main" id="{BA3C7778-52C4-4AB5-A8C8-B83344FD71F7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64291"/>
        <a:stretch/>
      </xdr:blipFill>
      <xdr:spPr bwMode="auto">
        <a:xfrm>
          <a:off x="83820" y="60960"/>
          <a:ext cx="1054095" cy="10476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10</xdr:col>
      <xdr:colOff>276225</xdr:colOff>
      <xdr:row>46</xdr:row>
      <xdr:rowOff>228600</xdr:rowOff>
    </xdr:from>
    <xdr:to>
      <xdr:col>13</xdr:col>
      <xdr:colOff>685800</xdr:colOff>
      <xdr:row>46</xdr:row>
      <xdr:rowOff>704850</xdr:rowOff>
    </xdr:to>
    <xdr:pic>
      <xdr:nvPicPr>
        <xdr:cNvPr id="4" name="Picture 6">
          <a:extLst>
            <a:ext uri="{FF2B5EF4-FFF2-40B4-BE49-F238E27FC236}">
              <a16:creationId xmlns:a16="http://schemas.microsoft.com/office/drawing/2014/main" id="{6C6343E8-DE5B-4410-879A-0091B89AA9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/>
        <a:stretch>
          <a:fillRect/>
        </a:stretch>
      </xdr:blipFill>
      <xdr:spPr bwMode="auto">
        <a:xfrm>
          <a:off x="7162800" y="12582525"/>
          <a:ext cx="2495550" cy="4762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257735</xdr:colOff>
      <xdr:row>45</xdr:row>
      <xdr:rowOff>150783</xdr:rowOff>
    </xdr:from>
    <xdr:to>
      <xdr:col>8</xdr:col>
      <xdr:colOff>739587</xdr:colOff>
      <xdr:row>46</xdr:row>
      <xdr:rowOff>1122830</xdr:rowOff>
    </xdr:to>
    <xdr:pic>
      <xdr:nvPicPr>
        <xdr:cNvPr id="5" name="Picture 5">
          <a:extLst>
            <a:ext uri="{FF2B5EF4-FFF2-40B4-BE49-F238E27FC236}">
              <a16:creationId xmlns:a16="http://schemas.microsoft.com/office/drawing/2014/main" id="{F2BCE6CC-FD45-435A-8AF4-0B2DBB3CC0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/>
        <a:stretch>
          <a:fillRect/>
        </a:stretch>
      </xdr:blipFill>
      <xdr:spPr bwMode="auto">
        <a:xfrm>
          <a:off x="4493559" y="13642665"/>
          <a:ext cx="1490381" cy="133063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76200</xdr:colOff>
          <xdr:row>3</xdr:row>
          <xdr:rowOff>123825</xdr:rowOff>
        </xdr:from>
        <xdr:to>
          <xdr:col>22</xdr:col>
          <xdr:colOff>600075</xdr:colOff>
          <xdr:row>5</xdr:row>
          <xdr:rowOff>200025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IN" sz="2000" b="0" i="0" u="none" strike="noStrike" baseline="0">
                  <a:solidFill>
                    <a:srgbClr val="000000"/>
                  </a:solidFill>
                  <a:latin typeface="Aptos Black"/>
                </a:rPr>
                <a:t>Save As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76200</xdr:colOff>
          <xdr:row>8</xdr:row>
          <xdr:rowOff>266700</xdr:rowOff>
        </xdr:from>
        <xdr:to>
          <xdr:col>22</xdr:col>
          <xdr:colOff>600075</xdr:colOff>
          <xdr:row>10</xdr:row>
          <xdr:rowOff>295275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IN" sz="2000" b="0" i="0" u="none" strike="noStrike" baseline="0">
                  <a:solidFill>
                    <a:srgbClr val="000000"/>
                  </a:solidFill>
                  <a:latin typeface="Aptos Black"/>
                </a:rPr>
                <a:t>Send The mail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</xdr:row>
          <xdr:rowOff>9525</xdr:rowOff>
        </xdr:from>
        <xdr:to>
          <xdr:col>3</xdr:col>
          <xdr:colOff>3028950</xdr:colOff>
          <xdr:row>5</xdr:row>
          <xdr:rowOff>161925</xdr:rowOff>
        </xdr:to>
        <xdr:sp macro="" textlink="">
          <xdr:nvSpPr>
            <xdr:cNvPr id="4097" name="TextBox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1290AA2-6176-4457-A00B-EDDB8782E72E}" name="PRICELIST" displayName="PRICELIST" ref="A1:B986" totalsRowShown="0" headerRowDxfId="14" dataDxfId="12" headerRowBorderDxfId="13" tableBorderDxfId="11">
  <autoFilter ref="A1:B986" xr:uid="{41290AA2-6176-4457-A00B-EDDB8782E72E}"/>
  <sortState xmlns:xlrd2="http://schemas.microsoft.com/office/spreadsheetml/2017/richdata2" ref="A2:B618">
    <sortCondition ref="A577:A618"/>
  </sortState>
  <tableColumns count="2">
    <tableColumn id="2" xr3:uid="{53B5D9BB-B56D-417C-9D39-371B1C876F04}" name="ROLES" dataDxfId="10"/>
    <tableColumn id="3" xr3:uid="{F615EFEC-D268-4EA7-84CC-CAD9427C4BB3}" name="AMOUNT" dataDxfId="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85CB8C6-2271-4F9A-AD8A-81F7E05CBA4E}" name="COMPANYDETAILS" displayName="COMPANYDETAILS" ref="E1:K201" totalsRowShown="0" headerRowDxfId="8" dataDxfId="7">
  <autoFilter ref="E1:K201" xr:uid="{B85CB8C6-2271-4F9A-AD8A-81F7E05CBA4E}"/>
  <sortState xmlns:xlrd2="http://schemas.microsoft.com/office/spreadsheetml/2017/richdata2" ref="E2:K201">
    <sortCondition ref="E64:E201"/>
  </sortState>
  <tableColumns count="7">
    <tableColumn id="1" xr3:uid="{FD0D6123-F586-48D2-BCD4-FD70C26F31EF}" name="COMPANY NAME/PERSON" dataDxfId="6"/>
    <tableColumn id="2" xr3:uid="{E4D1297D-1886-4CC0-A998-2CC206DAB271}" name="ADDRESS" dataDxfId="5"/>
    <tableColumn id="3" xr3:uid="{D8D9D874-B8BB-4BA9-AB68-821E3CD4133F}" name="TRN" dataDxfId="4"/>
    <tableColumn id="4" xr3:uid="{B4C8747A-803E-43AA-B609-981AF87ED1F6}" name="PHONE" dataDxfId="3"/>
    <tableColumn id="5" xr3:uid="{FF07B42F-4117-49F7-BE64-854DD74E94E7}" name="EMAIL" dataDxfId="2" dataCellStyle="Hyperlink"/>
    <tableColumn id="6" xr3:uid="{F519C0D8-2BA0-4FD2-BB33-05AB2AD9D1FF}" name="WEBSITE" dataDxfId="1" dataCellStyle="Hyperlink"/>
    <tableColumn id="7" xr3:uid="{580A4F36-BE9D-416F-9931-7FB5C3C16076}" name="CUSTOMER ID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hyperlink" Target="mailto:nithil@salukimedia.com" TargetMode="External"/><Relationship Id="rId21" Type="http://schemas.openxmlformats.org/officeDocument/2006/relationships/hyperlink" Target="mailto:nithil@salukimedia.com" TargetMode="External"/><Relationship Id="rId42" Type="http://schemas.openxmlformats.org/officeDocument/2006/relationships/hyperlink" Target="mailto:nithil@salukimedia.com" TargetMode="External"/><Relationship Id="rId47" Type="http://schemas.openxmlformats.org/officeDocument/2006/relationships/hyperlink" Target="mailto:nithil@salukimedia.com" TargetMode="External"/><Relationship Id="rId63" Type="http://schemas.openxmlformats.org/officeDocument/2006/relationships/hyperlink" Target="mailto:nithil@salukimedia.com" TargetMode="External"/><Relationship Id="rId68" Type="http://schemas.openxmlformats.org/officeDocument/2006/relationships/hyperlink" Target="mailto:nithil@salukimedia.com" TargetMode="External"/><Relationship Id="rId7" Type="http://schemas.openxmlformats.org/officeDocument/2006/relationships/hyperlink" Target="mailto:nithil@salukimedia.com" TargetMode="External"/><Relationship Id="rId71" Type="http://schemas.openxmlformats.org/officeDocument/2006/relationships/table" Target="../tables/table2.xml"/><Relationship Id="rId2" Type="http://schemas.openxmlformats.org/officeDocument/2006/relationships/hyperlink" Target="http://www.salukimedia.com/" TargetMode="External"/><Relationship Id="rId16" Type="http://schemas.openxmlformats.org/officeDocument/2006/relationships/hyperlink" Target="mailto:aallulu@imimedia.com" TargetMode="External"/><Relationship Id="rId29" Type="http://schemas.openxmlformats.org/officeDocument/2006/relationships/hyperlink" Target="mailto:nithil@salukimedia.com" TargetMode="External"/><Relationship Id="rId11" Type="http://schemas.openxmlformats.org/officeDocument/2006/relationships/hyperlink" Target="mailto:nithil@salukimedia.com" TargetMode="External"/><Relationship Id="rId24" Type="http://schemas.openxmlformats.org/officeDocument/2006/relationships/hyperlink" Target="mailto:nithil@salukimedia.com" TargetMode="External"/><Relationship Id="rId32" Type="http://schemas.openxmlformats.org/officeDocument/2006/relationships/hyperlink" Target="mailto:nithil@salukimedia.com" TargetMode="External"/><Relationship Id="rId37" Type="http://schemas.openxmlformats.org/officeDocument/2006/relationships/hyperlink" Target="mailto:nithil@salukimedia.com" TargetMode="External"/><Relationship Id="rId40" Type="http://schemas.openxmlformats.org/officeDocument/2006/relationships/hyperlink" Target="mailto:nithil@salukimedia.com" TargetMode="External"/><Relationship Id="rId45" Type="http://schemas.openxmlformats.org/officeDocument/2006/relationships/hyperlink" Target="mailto:nithil@salukimedia.com" TargetMode="External"/><Relationship Id="rId53" Type="http://schemas.openxmlformats.org/officeDocument/2006/relationships/hyperlink" Target="mailto:nithil@salukimedia.com" TargetMode="External"/><Relationship Id="rId58" Type="http://schemas.openxmlformats.org/officeDocument/2006/relationships/hyperlink" Target="mailto:nithil@salukimedia.com" TargetMode="External"/><Relationship Id="rId66" Type="http://schemas.openxmlformats.org/officeDocument/2006/relationships/hyperlink" Target="mailto:nithil@salukimedia.com" TargetMode="External"/><Relationship Id="rId5" Type="http://schemas.openxmlformats.org/officeDocument/2006/relationships/hyperlink" Target="mailto:nithil@salukimedia.com" TargetMode="External"/><Relationship Id="rId61" Type="http://schemas.openxmlformats.org/officeDocument/2006/relationships/hyperlink" Target="mailto:nithil@salukimedia.com" TargetMode="External"/><Relationship Id="rId19" Type="http://schemas.openxmlformats.org/officeDocument/2006/relationships/hyperlink" Target="mailto:nmpro@nmpro.net" TargetMode="External"/><Relationship Id="rId14" Type="http://schemas.openxmlformats.org/officeDocument/2006/relationships/hyperlink" Target="mailto:ralph@estaz.gg" TargetMode="External"/><Relationship Id="rId22" Type="http://schemas.openxmlformats.org/officeDocument/2006/relationships/hyperlink" Target="mailto:nithil@salukimedia.com" TargetMode="External"/><Relationship Id="rId27" Type="http://schemas.openxmlformats.org/officeDocument/2006/relationships/hyperlink" Target="mailto:nithil@salukimedia.com" TargetMode="External"/><Relationship Id="rId30" Type="http://schemas.openxmlformats.org/officeDocument/2006/relationships/hyperlink" Target="mailto:nithil@salukimedia.com" TargetMode="External"/><Relationship Id="rId35" Type="http://schemas.openxmlformats.org/officeDocument/2006/relationships/hyperlink" Target="mailto:nithil@salukimedia.com" TargetMode="External"/><Relationship Id="rId43" Type="http://schemas.openxmlformats.org/officeDocument/2006/relationships/hyperlink" Target="mailto:nithil@salukimedia.com" TargetMode="External"/><Relationship Id="rId48" Type="http://schemas.openxmlformats.org/officeDocument/2006/relationships/hyperlink" Target="mailto:nithil@salukimedia.com" TargetMode="External"/><Relationship Id="rId56" Type="http://schemas.openxmlformats.org/officeDocument/2006/relationships/hyperlink" Target="mailto:nithil@salukimedia.com" TargetMode="External"/><Relationship Id="rId64" Type="http://schemas.openxmlformats.org/officeDocument/2006/relationships/hyperlink" Target="mailto:nithil@salukimedia.com" TargetMode="External"/><Relationship Id="rId69" Type="http://schemas.openxmlformats.org/officeDocument/2006/relationships/hyperlink" Target="mailto:mtumaodos@alforsan.ae" TargetMode="External"/><Relationship Id="rId8" Type="http://schemas.openxmlformats.org/officeDocument/2006/relationships/hyperlink" Target="mailto:nithil@salukimedia.com" TargetMode="External"/><Relationship Id="rId51" Type="http://schemas.openxmlformats.org/officeDocument/2006/relationships/hyperlink" Target="mailto:nithil@salukimedia.com" TargetMode="External"/><Relationship Id="rId3" Type="http://schemas.openxmlformats.org/officeDocument/2006/relationships/hyperlink" Target="mailto:nithil@salukimedia.com" TargetMode="External"/><Relationship Id="rId12" Type="http://schemas.openxmlformats.org/officeDocument/2006/relationships/hyperlink" Target="mailto:nithil@salukimedia.com" TargetMode="External"/><Relationship Id="rId17" Type="http://schemas.openxmlformats.org/officeDocument/2006/relationships/hyperlink" Target="mailto:broukoz@nepgroup.com" TargetMode="External"/><Relationship Id="rId25" Type="http://schemas.openxmlformats.org/officeDocument/2006/relationships/hyperlink" Target="mailto:nithil@salukimedia.com" TargetMode="External"/><Relationship Id="rId33" Type="http://schemas.openxmlformats.org/officeDocument/2006/relationships/hyperlink" Target="mailto:nithil@salukimedia.com" TargetMode="External"/><Relationship Id="rId38" Type="http://schemas.openxmlformats.org/officeDocument/2006/relationships/hyperlink" Target="mailto:nithil@salukimedia.com" TargetMode="External"/><Relationship Id="rId46" Type="http://schemas.openxmlformats.org/officeDocument/2006/relationships/hyperlink" Target="mailto:nithil@salukimedia.com" TargetMode="External"/><Relationship Id="rId59" Type="http://schemas.openxmlformats.org/officeDocument/2006/relationships/hyperlink" Target="mailto:nithil@salukimedia.com" TargetMode="External"/><Relationship Id="rId67" Type="http://schemas.openxmlformats.org/officeDocument/2006/relationships/hyperlink" Target="mailto:nithil@salukimedia.com" TargetMode="External"/><Relationship Id="rId20" Type="http://schemas.openxmlformats.org/officeDocument/2006/relationships/hyperlink" Target="mailto:nithil@salukimedia.com" TargetMode="External"/><Relationship Id="rId41" Type="http://schemas.openxmlformats.org/officeDocument/2006/relationships/hyperlink" Target="mailto:nithil@salukimedia.com" TargetMode="External"/><Relationship Id="rId54" Type="http://schemas.openxmlformats.org/officeDocument/2006/relationships/hyperlink" Target="mailto:nithil@salukimedia.com" TargetMode="External"/><Relationship Id="rId62" Type="http://schemas.openxmlformats.org/officeDocument/2006/relationships/hyperlink" Target="mailto:nithil@salukimedia.com" TargetMode="External"/><Relationship Id="rId70" Type="http://schemas.openxmlformats.org/officeDocument/2006/relationships/table" Target="../tables/table1.xml"/><Relationship Id="rId1" Type="http://schemas.openxmlformats.org/officeDocument/2006/relationships/hyperlink" Target="mailto:nithil@salukimedia.com" TargetMode="External"/><Relationship Id="rId6" Type="http://schemas.openxmlformats.org/officeDocument/2006/relationships/hyperlink" Target="mailto:nithil@salukimedia.com" TargetMode="External"/><Relationship Id="rId15" Type="http://schemas.openxmlformats.org/officeDocument/2006/relationships/hyperlink" Target="mailto:hanadi@fotografilles.com" TargetMode="External"/><Relationship Id="rId23" Type="http://schemas.openxmlformats.org/officeDocument/2006/relationships/hyperlink" Target="mailto:nithil@salukimedia.com" TargetMode="External"/><Relationship Id="rId28" Type="http://schemas.openxmlformats.org/officeDocument/2006/relationships/hyperlink" Target="mailto:nithil@salukimedia.com" TargetMode="External"/><Relationship Id="rId36" Type="http://schemas.openxmlformats.org/officeDocument/2006/relationships/hyperlink" Target="mailto:nithil@salukimedia.com" TargetMode="External"/><Relationship Id="rId49" Type="http://schemas.openxmlformats.org/officeDocument/2006/relationships/hyperlink" Target="mailto:nithil@salukimedia.com" TargetMode="External"/><Relationship Id="rId57" Type="http://schemas.openxmlformats.org/officeDocument/2006/relationships/hyperlink" Target="mailto:nithil@salukimedia.com" TargetMode="External"/><Relationship Id="rId10" Type="http://schemas.openxmlformats.org/officeDocument/2006/relationships/hyperlink" Target="mailto:nithil@salukimedia.com" TargetMode="External"/><Relationship Id="rId31" Type="http://schemas.openxmlformats.org/officeDocument/2006/relationships/hyperlink" Target="mailto:nithil@salukimedia.com" TargetMode="External"/><Relationship Id="rId44" Type="http://schemas.openxmlformats.org/officeDocument/2006/relationships/hyperlink" Target="mailto:nithil@salukimedia.com" TargetMode="External"/><Relationship Id="rId52" Type="http://schemas.openxmlformats.org/officeDocument/2006/relationships/hyperlink" Target="mailto:nithil@salukimedia.com" TargetMode="External"/><Relationship Id="rId60" Type="http://schemas.openxmlformats.org/officeDocument/2006/relationships/hyperlink" Target="mailto:nithil@salukimedia.com" TargetMode="External"/><Relationship Id="rId65" Type="http://schemas.openxmlformats.org/officeDocument/2006/relationships/hyperlink" Target="mailto:nithil@salukimedia.com" TargetMode="External"/><Relationship Id="rId4" Type="http://schemas.openxmlformats.org/officeDocument/2006/relationships/hyperlink" Target="mailto:nithil@salukimedia.com" TargetMode="External"/><Relationship Id="rId9" Type="http://schemas.openxmlformats.org/officeDocument/2006/relationships/hyperlink" Target="mailto:nithil@salukimedia.com" TargetMode="External"/><Relationship Id="rId13" Type="http://schemas.openxmlformats.org/officeDocument/2006/relationships/hyperlink" Target="mailto:abdulla.alfahim@cpc.gov.ae" TargetMode="External"/><Relationship Id="rId18" Type="http://schemas.openxmlformats.org/officeDocument/2006/relationships/hyperlink" Target="https://www.nepgroup.com/" TargetMode="External"/><Relationship Id="rId39" Type="http://schemas.openxmlformats.org/officeDocument/2006/relationships/hyperlink" Target="mailto:nithil@salukimedia.com" TargetMode="External"/><Relationship Id="rId34" Type="http://schemas.openxmlformats.org/officeDocument/2006/relationships/hyperlink" Target="mailto:nithil@salukimedia.com" TargetMode="External"/><Relationship Id="rId50" Type="http://schemas.openxmlformats.org/officeDocument/2006/relationships/hyperlink" Target="mailto:nithil@salukimedia.com" TargetMode="External"/><Relationship Id="rId55" Type="http://schemas.openxmlformats.org/officeDocument/2006/relationships/hyperlink" Target="mailto:nithil@salukimedia.com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.xml"/><Relationship Id="rId4" Type="http://schemas.openxmlformats.org/officeDocument/2006/relationships/image" Target="../media/image10.emf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hyperlink" Target="../../../../Desktop/Pixel%20Perfect_56395_2025-06-17.pdf" TargetMode="External"/><Relationship Id="rId1" Type="http://schemas.openxmlformats.org/officeDocument/2006/relationships/hyperlink" Target="../../../../Desktop/SPIRA%20SPORTS%20INTEGRATED%20CLUB%20L.L.C._0_2025-05-22.pdf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786"/>
  <sheetViews>
    <sheetView tabSelected="1" view="pageBreakPreview" topLeftCell="A8" zoomScaleNormal="100" zoomScaleSheetLayoutView="100" zoomScalePageLayoutView="40" workbookViewId="0">
      <selection activeCell="F711" sqref="F711"/>
    </sheetView>
  </sheetViews>
  <sheetFormatPr defaultColWidth="8.5703125" defaultRowHeight="15.75"/>
  <cols>
    <col min="1" max="1" width="11" style="3" customWidth="1"/>
    <col min="2" max="2" width="47.42578125" style="3" customWidth="1"/>
    <col min="3" max="3" width="5.5703125" style="3" bestFit="1" customWidth="1"/>
    <col min="4" max="4" width="5.5703125" style="3" customWidth="1"/>
    <col min="5" max="5" width="16.140625" style="3" customWidth="1"/>
    <col min="6" max="6" width="12.140625" style="3" customWidth="1"/>
    <col min="7" max="7" width="21.28515625" style="3" customWidth="1"/>
    <col min="8" max="8" width="22.5703125" style="3" customWidth="1"/>
    <col min="9" max="16384" width="8.5703125" style="3"/>
  </cols>
  <sheetData>
    <row r="1" spans="1:8" ht="21">
      <c r="A1" s="94" t="s">
        <v>11</v>
      </c>
      <c r="B1" s="93"/>
      <c r="C1" s="93"/>
      <c r="D1" s="93"/>
      <c r="E1" s="93"/>
      <c r="F1" s="93"/>
      <c r="G1" s="93"/>
      <c r="H1" s="93"/>
    </row>
    <row r="2" spans="1:8">
      <c r="B2" s="6"/>
      <c r="C2" s="4"/>
      <c r="D2" s="7"/>
      <c r="F2" s="8"/>
    </row>
    <row r="3" spans="1:8" ht="15" customHeight="1">
      <c r="A3" s="3" t="s">
        <v>704</v>
      </c>
      <c r="C3" s="4"/>
      <c r="D3" s="9"/>
      <c r="F3" s="10"/>
      <c r="G3" s="7" t="s">
        <v>43</v>
      </c>
      <c r="H3" s="103">
        <v>45827</v>
      </c>
    </row>
    <row r="4" spans="1:8" ht="14.45" customHeight="1">
      <c r="B4" s="3" t="str">
        <f>IFERROR(VLOOKUP(B3,COMPANYDETAILS[],2,FALSE),"")</f>
        <v/>
      </c>
      <c r="C4" s="4"/>
      <c r="D4" s="5"/>
      <c r="E4" s="5"/>
      <c r="F4" s="5"/>
      <c r="G4" s="9" t="s">
        <v>1056</v>
      </c>
      <c r="H4" s="104">
        <v>10719</v>
      </c>
    </row>
    <row r="5" spans="1:8" ht="19.149999999999999" customHeight="1">
      <c r="B5" s="3" t="str">
        <f>IFERROR(VLOOKUP(B3,COMPANYDETAILS[],4,FALSE),"")</f>
        <v/>
      </c>
      <c r="C5" s="4"/>
      <c r="D5" s="5"/>
      <c r="E5" s="5"/>
      <c r="F5" s="5"/>
      <c r="G5" s="5"/>
      <c r="H5" s="5"/>
    </row>
    <row r="6" spans="1:8" ht="19.149999999999999" customHeight="1">
      <c r="B6" s="59" t="str">
        <f>IFERROR(VLOOKUP(B3,COMPANYDETAILS[],5,FALSE),"")</f>
        <v/>
      </c>
      <c r="C6" s="4"/>
      <c r="D6" s="5"/>
      <c r="E6" s="5"/>
      <c r="F6" s="5"/>
      <c r="G6" s="5"/>
      <c r="H6" s="5"/>
    </row>
    <row r="7" spans="1:8" ht="18.75" customHeight="1">
      <c r="A7" s="3" t="s">
        <v>705</v>
      </c>
      <c r="C7" s="6"/>
      <c r="D7" s="6"/>
      <c r="E7" s="6"/>
      <c r="F7" s="6"/>
      <c r="G7" s="6"/>
      <c r="H7" s="6"/>
    </row>
    <row r="8" spans="1:8">
      <c r="A8" s="18" t="s">
        <v>0</v>
      </c>
      <c r="C8" s="4"/>
      <c r="D8" s="5"/>
      <c r="E8" s="5"/>
      <c r="F8" s="5"/>
      <c r="G8" s="5"/>
      <c r="H8" s="5"/>
    </row>
    <row r="9" spans="1:8">
      <c r="A9" s="18" t="s">
        <v>1</v>
      </c>
      <c r="C9" s="4"/>
      <c r="D9" s="5"/>
      <c r="E9" s="5"/>
      <c r="F9" s="5"/>
      <c r="G9" s="5"/>
      <c r="H9" s="5"/>
    </row>
    <row r="10" spans="1:8" ht="16.5" customHeight="1">
      <c r="C10" s="4"/>
      <c r="D10" s="5"/>
      <c r="E10" s="5"/>
      <c r="F10" s="5"/>
      <c r="G10" s="5"/>
      <c r="H10" s="5"/>
    </row>
    <row r="11" spans="1:8" ht="21" customHeight="1">
      <c r="A11" s="79" t="s">
        <v>15</v>
      </c>
      <c r="B11" s="80" t="s">
        <v>702</v>
      </c>
      <c r="C11" s="79" t="s">
        <v>3</v>
      </c>
      <c r="D11" s="81" t="s">
        <v>2</v>
      </c>
      <c r="E11" s="81" t="s">
        <v>16</v>
      </c>
      <c r="F11" s="81" t="s">
        <v>53</v>
      </c>
      <c r="G11" s="81" t="s">
        <v>703</v>
      </c>
      <c r="H11" s="82" t="s">
        <v>17</v>
      </c>
    </row>
    <row r="12" spans="1:8" ht="21" hidden="1" customHeight="1">
      <c r="A12" s="12"/>
      <c r="B12" s="60" t="str">
        <f>DATA!A2</f>
        <v xml:space="preserve">100 KVA  Silent Generator with Truck </v>
      </c>
      <c r="C12" s="12"/>
      <c r="D12" s="71"/>
      <c r="E12" s="13"/>
      <c r="F12" s="13"/>
      <c r="G12" s="13"/>
      <c r="H12" s="14"/>
    </row>
    <row r="13" spans="1:8" ht="21" hidden="1" customHeight="1">
      <c r="A13" s="12"/>
      <c r="B13" s="60" t="str">
        <f>DATA!A3</f>
        <v xml:space="preserve">12x12 Butterfly / Fabrics </v>
      </c>
      <c r="C13" s="12"/>
      <c r="D13" s="71"/>
      <c r="E13" s="13"/>
      <c r="F13" s="13"/>
      <c r="G13" s="13"/>
      <c r="H13" s="14"/>
    </row>
    <row r="14" spans="1:8" ht="21" hidden="1" customHeight="1">
      <c r="A14" s="12"/>
      <c r="B14" s="60" t="str">
        <f>DATA!A4</f>
        <v xml:space="preserve">150 KVA Super Silent Generator with Truck </v>
      </c>
      <c r="C14" s="12"/>
      <c r="D14" s="71"/>
      <c r="E14" s="13"/>
      <c r="F14" s="13"/>
      <c r="G14" s="13"/>
      <c r="H14" s="14"/>
    </row>
    <row r="15" spans="1:8" ht="21" hidden="1" customHeight="1">
      <c r="A15" s="12"/>
      <c r="B15" s="60" t="str">
        <f>DATA!A5</f>
        <v>19-Inch Dual Conference Prompter Set</v>
      </c>
      <c r="C15" s="12"/>
      <c r="D15" s="71"/>
      <c r="E15" s="13"/>
      <c r="F15" s="13"/>
      <c r="G15" s="13"/>
      <c r="H15" s="14"/>
    </row>
    <row r="16" spans="1:8" ht="21" hidden="1" customHeight="1">
      <c r="A16" s="12"/>
      <c r="B16" s="60" t="str">
        <f>DATA!A6</f>
        <v>2 BAD LED</v>
      </c>
      <c r="C16" s="12"/>
      <c r="D16" s="71"/>
      <c r="E16" s="13"/>
      <c r="F16" s="13"/>
      <c r="G16" s="13"/>
      <c r="H16" s="14"/>
    </row>
    <row r="17" spans="1:8" ht="21" hidden="1" customHeight="1">
      <c r="A17" s="12"/>
      <c r="B17" s="60" t="str">
        <f>DATA!A7</f>
        <v xml:space="preserve">20x20 Butterfly / Fabrics </v>
      </c>
      <c r="C17" s="12"/>
      <c r="D17" s="71"/>
      <c r="E17" s="13"/>
      <c r="F17" s="13"/>
      <c r="G17" s="13"/>
      <c r="H17" s="14"/>
    </row>
    <row r="18" spans="1:8" ht="21" hidden="1" customHeight="1">
      <c r="A18" s="12"/>
      <c r="B18" s="60" t="str">
        <f>DATA!A8</f>
        <v>4 BAD LED</v>
      </c>
      <c r="C18" s="12"/>
      <c r="D18" s="71"/>
      <c r="E18" s="13"/>
      <c r="F18" s="13"/>
      <c r="G18" s="13"/>
      <c r="H18" s="14"/>
    </row>
    <row r="19" spans="1:8" ht="21" hidden="1" customHeight="1">
      <c r="A19" s="12"/>
      <c r="B19" s="60" t="str">
        <f>DATA!A9</f>
        <v xml:space="preserve">4x4 Butterfly / Fabrics </v>
      </c>
      <c r="C19" s="12"/>
      <c r="D19" s="71"/>
      <c r="E19" s="13"/>
      <c r="F19" s="13"/>
      <c r="G19" s="13"/>
      <c r="H19" s="14"/>
    </row>
    <row r="20" spans="1:8" ht="21" hidden="1" customHeight="1">
      <c r="A20" s="12"/>
      <c r="B20" s="60" t="str">
        <f>DATA!A10</f>
        <v>575 Sbring ball HMI</v>
      </c>
      <c r="C20" s="12"/>
      <c r="D20" s="71"/>
      <c r="E20" s="13"/>
      <c r="F20" s="13"/>
      <c r="G20" s="13"/>
      <c r="H20" s="14"/>
    </row>
    <row r="21" spans="1:8" ht="21" hidden="1" customHeight="1">
      <c r="A21" s="12"/>
      <c r="B21" s="60" t="str">
        <f>DATA!A11</f>
        <v xml:space="preserve">6.5 KVA Generator </v>
      </c>
      <c r="C21" s="12"/>
      <c r="D21" s="71"/>
      <c r="E21" s="13"/>
      <c r="F21" s="13"/>
      <c r="G21" s="13"/>
      <c r="H21" s="14"/>
    </row>
    <row r="22" spans="1:8" ht="21" hidden="1" customHeight="1">
      <c r="A22" s="12"/>
      <c r="B22" s="60" t="str">
        <f>DATA!A12</f>
        <v xml:space="preserve">8x8 Butterfly / Fabrics </v>
      </c>
      <c r="C22" s="12"/>
      <c r="D22" s="71"/>
      <c r="E22" s="13"/>
      <c r="F22" s="13"/>
      <c r="G22" s="13"/>
      <c r="H22" s="14"/>
    </row>
    <row r="23" spans="1:8" ht="21" hidden="1" customHeight="1">
      <c r="A23" s="12"/>
      <c r="B23" s="60" t="str">
        <f>DATA!A13</f>
        <v xml:space="preserve">Angenieux Optimo 24 – 290mm </v>
      </c>
      <c r="C23" s="12"/>
      <c r="D23" s="71"/>
      <c r="E23" s="13"/>
      <c r="F23" s="13"/>
      <c r="G23" s="13"/>
      <c r="H23" s="14"/>
    </row>
    <row r="24" spans="1:8" ht="21" hidden="1" customHeight="1">
      <c r="A24" s="12"/>
      <c r="B24" s="60" t="str">
        <f>DATA!A14</f>
        <v>Angenieux Optimo lens 30-76 mm</v>
      </c>
      <c r="C24" s="12"/>
      <c r="D24" s="71"/>
      <c r="E24" s="13"/>
      <c r="F24" s="13"/>
      <c r="G24" s="13"/>
      <c r="H24" s="14"/>
    </row>
    <row r="25" spans="1:8" ht="21" hidden="1" customHeight="1">
      <c r="A25" s="12"/>
      <c r="B25" s="60" t="str">
        <f>DATA!A15</f>
        <v xml:space="preserve">Angenieux Type EZ1 – 30 – 90mm </v>
      </c>
      <c r="C25" s="12"/>
      <c r="D25" s="71"/>
      <c r="E25" s="13"/>
      <c r="F25" s="13"/>
      <c r="G25" s="13"/>
      <c r="H25" s="14"/>
    </row>
    <row r="26" spans="1:8" ht="21" hidden="1" customHeight="1">
      <c r="A26" s="12"/>
      <c r="B26" s="60" t="str">
        <f>DATA!A16</f>
        <v xml:space="preserve">Angenieux Type EZ2 – 14 – 40mm </v>
      </c>
      <c r="C26" s="12"/>
      <c r="D26" s="71"/>
      <c r="E26" s="13"/>
      <c r="F26" s="13"/>
      <c r="G26" s="13"/>
      <c r="H26" s="14"/>
    </row>
    <row r="27" spans="1:8" ht="21" hidden="1" customHeight="1">
      <c r="A27" s="12"/>
      <c r="B27" s="60" t="str">
        <f>DATA!A17</f>
        <v>Apple box</v>
      </c>
      <c r="C27" s="12"/>
      <c r="D27" s="71"/>
      <c r="E27" s="13"/>
      <c r="F27" s="13"/>
      <c r="G27" s="13"/>
      <c r="H27" s="14"/>
    </row>
    <row r="28" spans="1:8" ht="21" hidden="1" customHeight="1">
      <c r="A28" s="12"/>
      <c r="B28" s="60" t="str">
        <f>DATA!A18</f>
        <v>Aputure Lantern 90</v>
      </c>
      <c r="C28" s="12"/>
      <c r="D28" s="71"/>
      <c r="E28" s="13"/>
      <c r="F28" s="13"/>
      <c r="G28" s="13"/>
      <c r="H28" s="14"/>
    </row>
    <row r="29" spans="1:8" ht="21" hidden="1" customHeight="1">
      <c r="A29" s="12"/>
      <c r="B29" s="60" t="str">
        <f>DATA!A19</f>
        <v>Aputure Light 300</v>
      </c>
      <c r="C29" s="12"/>
      <c r="D29" s="71"/>
      <c r="E29" s="13"/>
      <c r="F29" s="13"/>
      <c r="G29" s="13"/>
      <c r="H29" s="14"/>
    </row>
    <row r="30" spans="1:8" ht="21" hidden="1" customHeight="1">
      <c r="A30" s="12"/>
      <c r="B30" s="60" t="str">
        <f>DATA!A20</f>
        <v>Aputure Light Dome SE, 33.5″ (85cm)</v>
      </c>
      <c r="C30" s="12"/>
      <c r="D30" s="71"/>
      <c r="E30" s="13"/>
      <c r="F30" s="13"/>
      <c r="G30" s="13"/>
      <c r="H30" s="14"/>
    </row>
    <row r="31" spans="1:8" ht="21" hidden="1" customHeight="1">
      <c r="A31" s="12"/>
      <c r="B31" s="60" t="str">
        <f>DATA!A21</f>
        <v>Aputure Light Storm LS 1200</v>
      </c>
      <c r="C31" s="12"/>
      <c r="D31" s="71"/>
      <c r="E31" s="13"/>
      <c r="F31" s="13"/>
      <c r="G31" s="13"/>
      <c r="H31" s="14"/>
    </row>
    <row r="32" spans="1:8" ht="21" hidden="1" customHeight="1">
      <c r="A32" s="12"/>
      <c r="B32" s="60" t="str">
        <f>DATA!A22</f>
        <v>Aputure Light Storm LS 600</v>
      </c>
      <c r="C32" s="12"/>
      <c r="D32" s="71"/>
      <c r="E32" s="13"/>
      <c r="F32" s="13"/>
      <c r="G32" s="13"/>
      <c r="H32" s="14"/>
    </row>
    <row r="33" spans="1:8" ht="21" hidden="1" customHeight="1">
      <c r="A33" s="12"/>
      <c r="B33" s="60" t="str">
        <f>DATA!A23</f>
        <v xml:space="preserve">Aputure Light Storm LS C300D II LED </v>
      </c>
      <c r="C33" s="12"/>
      <c r="D33" s="71"/>
      <c r="E33" s="13"/>
      <c r="F33" s="13"/>
      <c r="G33" s="13"/>
      <c r="H33" s="14"/>
    </row>
    <row r="34" spans="1:8" ht="21" hidden="1" customHeight="1">
      <c r="A34" s="12"/>
      <c r="B34" s="60" t="str">
        <f>DATA!A24</f>
        <v>Arri 1.2K HMI (D12) fresnel</v>
      </c>
      <c r="C34" s="12"/>
      <c r="D34" s="71"/>
      <c r="E34" s="13"/>
      <c r="F34" s="13"/>
      <c r="G34" s="13"/>
      <c r="H34" s="14"/>
    </row>
    <row r="35" spans="1:8" ht="21" hidden="1" customHeight="1">
      <c r="A35" s="12"/>
      <c r="B35" s="60" t="str">
        <f>DATA!A25</f>
        <v>Arri 1.2K T. Fresnel</v>
      </c>
      <c r="C35" s="12"/>
      <c r="D35" s="71"/>
      <c r="E35" s="13"/>
      <c r="F35" s="13"/>
      <c r="G35" s="13"/>
      <c r="H35" s="14"/>
    </row>
    <row r="36" spans="1:8" ht="21" hidden="1" customHeight="1">
      <c r="A36" s="12"/>
      <c r="B36" s="60" t="str">
        <f>DATA!A26</f>
        <v>Arri 10K T. Halogen fresnel</v>
      </c>
      <c r="C36" s="12"/>
      <c r="D36" s="71"/>
      <c r="E36" s="13"/>
      <c r="F36" s="13"/>
      <c r="G36" s="13"/>
      <c r="H36" s="14"/>
    </row>
    <row r="37" spans="1:8" ht="21" hidden="1" customHeight="1">
      <c r="A37" s="12"/>
      <c r="B37" s="60" t="str">
        <f>DATA!A27</f>
        <v xml:space="preserve">Arri 10K Tungsten </v>
      </c>
      <c r="C37" s="12"/>
      <c r="D37" s="71"/>
      <c r="E37" s="13"/>
      <c r="F37" s="13"/>
      <c r="G37" s="13"/>
      <c r="H37" s="14"/>
    </row>
    <row r="38" spans="1:8" ht="21" hidden="1" customHeight="1">
      <c r="A38" s="12"/>
      <c r="B38" s="60" t="str">
        <f>DATA!A28</f>
        <v>Arri 12K D HMI fresnel</v>
      </c>
      <c r="C38" s="12"/>
      <c r="D38" s="71"/>
      <c r="E38" s="13"/>
      <c r="F38" s="13"/>
      <c r="G38" s="13"/>
      <c r="H38" s="14"/>
    </row>
    <row r="39" spans="1:8" ht="21" hidden="1" customHeight="1">
      <c r="A39" s="12"/>
      <c r="B39" s="60" t="str">
        <f>DATA!A29</f>
        <v>Arri 12K T. fresnel</v>
      </c>
      <c r="C39" s="12"/>
      <c r="D39" s="71"/>
      <c r="E39" s="13"/>
      <c r="F39" s="13"/>
      <c r="G39" s="13"/>
      <c r="H39" s="14"/>
    </row>
    <row r="40" spans="1:8" ht="21" hidden="1" customHeight="1">
      <c r="A40" s="12"/>
      <c r="B40" s="60" t="str">
        <f>DATA!A30</f>
        <v>ARRI 12mm Master Prime Lens (PL LDS, Feet)</v>
      </c>
      <c r="C40" s="12"/>
      <c r="D40" s="71"/>
      <c r="E40" s="13"/>
      <c r="F40" s="13"/>
      <c r="G40" s="13"/>
      <c r="H40" s="14"/>
    </row>
    <row r="41" spans="1:8" ht="21" hidden="1" customHeight="1">
      <c r="A41" s="12"/>
      <c r="B41" s="60" t="str">
        <f>DATA!A31</f>
        <v>Arri 18K HMI fresnel</v>
      </c>
      <c r="C41" s="12"/>
      <c r="D41" s="71"/>
      <c r="E41" s="13"/>
      <c r="F41" s="13"/>
      <c r="G41" s="13"/>
      <c r="H41" s="14"/>
    </row>
    <row r="42" spans="1:8" ht="21" hidden="1" customHeight="1">
      <c r="A42" s="12"/>
      <c r="B42" s="60" t="str">
        <f>DATA!A32</f>
        <v xml:space="preserve">Arri 1K Tungsten </v>
      </c>
      <c r="C42" s="12"/>
      <c r="D42" s="71"/>
      <c r="E42" s="13"/>
      <c r="F42" s="13"/>
      <c r="G42" s="13"/>
      <c r="H42" s="14"/>
    </row>
    <row r="43" spans="1:8" ht="21" hidden="1" customHeight="1">
      <c r="A43" s="12"/>
      <c r="B43" s="60" t="str">
        <f>DATA!A33</f>
        <v>Arri 2.5K HMI fresnel</v>
      </c>
      <c r="C43" s="12"/>
      <c r="D43" s="71"/>
      <c r="E43" s="13"/>
      <c r="F43" s="13"/>
      <c r="G43" s="13"/>
      <c r="H43" s="14"/>
    </row>
    <row r="44" spans="1:8" ht="21" hidden="1" customHeight="1">
      <c r="A44" s="12"/>
      <c r="B44" s="60" t="str">
        <f>DATA!A34</f>
        <v>Arri 2.5K Sun HMI fresnel</v>
      </c>
      <c r="C44" s="12"/>
      <c r="D44" s="71"/>
      <c r="E44" s="13"/>
      <c r="F44" s="13"/>
      <c r="G44" s="13"/>
      <c r="H44" s="14"/>
    </row>
    <row r="45" spans="1:8" ht="21" hidden="1" customHeight="1">
      <c r="A45" s="12"/>
      <c r="B45" s="60" t="str">
        <f>DATA!A35</f>
        <v>Arri 4K HMI fresnel</v>
      </c>
      <c r="C45" s="12"/>
      <c r="D45" s="71"/>
      <c r="E45" s="13"/>
      <c r="F45" s="13"/>
      <c r="G45" s="13"/>
      <c r="H45" s="14"/>
    </row>
    <row r="46" spans="1:8" ht="21" hidden="1" customHeight="1">
      <c r="A46" s="12"/>
      <c r="B46" s="60" t="str">
        <f>DATA!A36</f>
        <v>Arri 4K Sun HMI fresnel</v>
      </c>
      <c r="C46" s="12"/>
      <c r="D46" s="71"/>
      <c r="E46" s="13"/>
      <c r="F46" s="13"/>
      <c r="G46" s="13"/>
      <c r="H46" s="14"/>
    </row>
    <row r="47" spans="1:8" ht="21" hidden="1" customHeight="1">
      <c r="A47" s="12"/>
      <c r="B47" s="60" t="str">
        <f>DATA!A37</f>
        <v>Arri 575 HMI fresnel</v>
      </c>
      <c r="C47" s="12"/>
      <c r="D47" s="71"/>
      <c r="E47" s="13"/>
      <c r="F47" s="13"/>
      <c r="G47" s="13"/>
      <c r="H47" s="14"/>
    </row>
    <row r="48" spans="1:8" ht="21" hidden="1" customHeight="1">
      <c r="A48" s="12"/>
      <c r="B48" s="60" t="str">
        <f>DATA!A38</f>
        <v>Arri 5K T. Halogen fresnel</v>
      </c>
      <c r="C48" s="12"/>
      <c r="D48" s="71"/>
      <c r="E48" s="13"/>
      <c r="F48" s="13"/>
      <c r="G48" s="13"/>
      <c r="H48" s="14"/>
    </row>
    <row r="49" spans="1:8" ht="21" hidden="1" customHeight="1">
      <c r="A49" s="12"/>
      <c r="B49" s="60" t="str">
        <f>DATA!A39</f>
        <v xml:space="preserve">Arri 650 T. Kit </v>
      </c>
      <c r="C49" s="12"/>
      <c r="D49" s="71"/>
      <c r="E49" s="13"/>
      <c r="F49" s="13"/>
      <c r="G49" s="13"/>
      <c r="H49" s="14"/>
    </row>
    <row r="50" spans="1:8" ht="21" hidden="1" customHeight="1">
      <c r="A50" s="12"/>
      <c r="B50" s="60" t="str">
        <f>DATA!A40</f>
        <v>Arri 6K HMI fresnel</v>
      </c>
      <c r="C50" s="12"/>
      <c r="D50" s="71"/>
      <c r="E50" s="13"/>
      <c r="F50" s="13"/>
      <c r="G50" s="13"/>
      <c r="H50" s="14"/>
    </row>
    <row r="51" spans="1:8" ht="21" hidden="1" customHeight="1">
      <c r="A51" s="12"/>
      <c r="B51" s="60" t="str">
        <f>DATA!A41</f>
        <v>Arri 6K Sun HMI fresnel</v>
      </c>
      <c r="C51" s="12"/>
      <c r="D51" s="71"/>
      <c r="E51" s="13"/>
      <c r="F51" s="13"/>
      <c r="G51" s="13"/>
      <c r="H51" s="14"/>
    </row>
    <row r="52" spans="1:8" ht="21" hidden="1" customHeight="1">
      <c r="A52" s="12"/>
      <c r="B52" s="60" t="str">
        <f>DATA!A42</f>
        <v>ARRI ALEXA 35</v>
      </c>
      <c r="C52" s="12"/>
      <c r="D52" s="71"/>
      <c r="E52" s="13"/>
      <c r="F52" s="13"/>
      <c r="G52" s="13"/>
      <c r="H52" s="14"/>
    </row>
    <row r="53" spans="1:8" ht="21" hidden="1" customHeight="1">
      <c r="A53" s="12"/>
      <c r="B53" s="60" t="str">
        <f>DATA!A43</f>
        <v>ARRI ALEXA Mini LF</v>
      </c>
      <c r="C53" s="12"/>
      <c r="D53" s="71"/>
      <c r="E53" s="13"/>
      <c r="F53" s="13"/>
      <c r="G53" s="13"/>
      <c r="H53" s="14"/>
    </row>
    <row r="54" spans="1:8" ht="21" hidden="1" customHeight="1">
      <c r="A54" s="12"/>
      <c r="B54" s="60" t="str">
        <f>DATA!A44</f>
        <v>Arri Arrimax 18/12 HMI fresnel</v>
      </c>
      <c r="C54" s="12"/>
      <c r="D54" s="71"/>
      <c r="E54" s="13"/>
      <c r="F54" s="13"/>
      <c r="G54" s="13"/>
      <c r="H54" s="14"/>
    </row>
    <row r="55" spans="1:8" ht="21" hidden="1" customHeight="1">
      <c r="A55" s="12"/>
      <c r="B55" s="60" t="str">
        <f>DATA!A45</f>
        <v xml:space="preserve">Arri L7-C </v>
      </c>
      <c r="C55" s="12"/>
      <c r="D55" s="71"/>
      <c r="E55" s="13"/>
      <c r="F55" s="13"/>
      <c r="G55" s="13"/>
      <c r="H55" s="14"/>
    </row>
    <row r="56" spans="1:8" ht="21" hidden="1" customHeight="1">
      <c r="A56" s="12"/>
      <c r="B56" s="60" t="str">
        <f>DATA!A46</f>
        <v>ARRI LMB 4x5 Matte Box 15mm LWS Pro Set</v>
      </c>
      <c r="C56" s="12"/>
      <c r="D56" s="71"/>
      <c r="E56" s="13"/>
      <c r="F56" s="13"/>
      <c r="G56" s="13"/>
      <c r="H56" s="14"/>
    </row>
    <row r="57" spans="1:8" ht="21" hidden="1" customHeight="1">
      <c r="A57" s="12"/>
      <c r="B57" s="60" t="str">
        <f>DATA!A47</f>
        <v>ARRi Locoster LED</v>
      </c>
      <c r="C57" s="12"/>
      <c r="D57" s="71"/>
      <c r="E57" s="13"/>
      <c r="F57" s="13"/>
      <c r="G57" s="13"/>
      <c r="H57" s="14"/>
    </row>
    <row r="58" spans="1:8" ht="21" hidden="1" customHeight="1">
      <c r="A58" s="12"/>
      <c r="B58" s="60" t="str">
        <f>DATA!A48</f>
        <v>Arri M18 H.S fresnel</v>
      </c>
      <c r="C58" s="12"/>
      <c r="D58" s="71"/>
      <c r="E58" s="13"/>
      <c r="F58" s="13"/>
      <c r="G58" s="13"/>
      <c r="H58" s="14"/>
    </row>
    <row r="59" spans="1:8" ht="21" hidden="1" customHeight="1">
      <c r="A59" s="12"/>
      <c r="B59" s="60" t="str">
        <f>DATA!A49</f>
        <v>Arri M18 HMI fresnel</v>
      </c>
      <c r="C59" s="12"/>
      <c r="D59" s="71"/>
      <c r="E59" s="13"/>
      <c r="F59" s="13"/>
      <c r="G59" s="13"/>
      <c r="H59" s="14"/>
    </row>
    <row r="60" spans="1:8" ht="21" hidden="1" customHeight="1">
      <c r="A60" s="12"/>
      <c r="B60" s="60" t="str">
        <f>DATA!A50</f>
        <v>Arri M40 fresnel</v>
      </c>
      <c r="C60" s="12"/>
      <c r="D60" s="71"/>
      <c r="E60" s="13"/>
      <c r="F60" s="13"/>
      <c r="G60" s="13"/>
      <c r="H60" s="14"/>
    </row>
    <row r="61" spans="1:8" ht="21" hidden="1" customHeight="1">
      <c r="A61" s="12"/>
      <c r="B61" s="60" t="str">
        <f>DATA!A51</f>
        <v>Arri M40 HMI fresnel</v>
      </c>
      <c r="C61" s="12"/>
      <c r="D61" s="71"/>
      <c r="E61" s="13"/>
      <c r="F61" s="13"/>
      <c r="G61" s="13"/>
      <c r="H61" s="14"/>
    </row>
    <row r="62" spans="1:8" ht="21" hidden="1" customHeight="1">
      <c r="A62" s="12"/>
      <c r="B62" s="60" t="str">
        <f>DATA!A52</f>
        <v>Arri M8 Fresnel</v>
      </c>
      <c r="C62" s="12"/>
      <c r="D62" s="71"/>
      <c r="E62" s="13"/>
      <c r="F62" s="13"/>
      <c r="G62" s="13"/>
      <c r="H62" s="14"/>
    </row>
    <row r="63" spans="1:8" ht="21" hidden="1" customHeight="1">
      <c r="A63" s="12"/>
      <c r="B63" s="60" t="str">
        <f>DATA!A53</f>
        <v>Arri M8 HMI fresnel</v>
      </c>
      <c r="C63" s="12"/>
      <c r="D63" s="71"/>
      <c r="E63" s="13"/>
      <c r="F63" s="13"/>
      <c r="G63" s="13"/>
      <c r="H63" s="14"/>
    </row>
    <row r="64" spans="1:8" ht="21" hidden="1" customHeight="1">
      <c r="A64" s="12"/>
      <c r="B64" s="60" t="str">
        <f>DATA!A54</f>
        <v>Arri M90 HMI fresnel</v>
      </c>
      <c r="C64" s="12"/>
      <c r="D64" s="71"/>
      <c r="E64" s="13"/>
      <c r="F64" s="13"/>
      <c r="G64" s="13"/>
      <c r="H64" s="14"/>
    </row>
    <row r="65" spans="1:8" ht="21" hidden="1" customHeight="1">
      <c r="A65" s="12"/>
      <c r="B65" s="60" t="str">
        <f>DATA!A55</f>
        <v xml:space="preserve">Arri Master Prime Macro Lens – 100mm </v>
      </c>
      <c r="C65" s="12"/>
      <c r="D65" s="71"/>
      <c r="E65" s="13"/>
      <c r="F65" s="13"/>
      <c r="G65" s="13"/>
      <c r="H65" s="14"/>
    </row>
    <row r="66" spans="1:8" ht="21" hidden="1" customHeight="1">
      <c r="A66" s="12"/>
      <c r="B66" s="60" t="str">
        <f>DATA!A56</f>
        <v>ARRI Matte Box LMB 4x5</v>
      </c>
      <c r="C66" s="12"/>
      <c r="D66" s="71"/>
      <c r="E66" s="13"/>
      <c r="F66" s="13"/>
      <c r="G66" s="13"/>
      <c r="H66" s="14"/>
    </row>
    <row r="67" spans="1:8" ht="21" hidden="1" customHeight="1">
      <c r="A67" s="12"/>
      <c r="B67" s="60" t="str">
        <f>DATA!A57</f>
        <v>ARRI Matte Box LMB 6x6</v>
      </c>
      <c r="C67" s="12"/>
      <c r="D67" s="71"/>
      <c r="E67" s="13"/>
      <c r="F67" s="13"/>
      <c r="G67" s="13"/>
      <c r="H67" s="14"/>
    </row>
    <row r="68" spans="1:8" ht="21" hidden="1" customHeight="1">
      <c r="A68" s="12"/>
      <c r="B68" s="60" t="str">
        <f>DATA!A58</f>
        <v xml:space="preserve">Arri Orbiter </v>
      </c>
      <c r="C68" s="12"/>
      <c r="D68" s="71"/>
      <c r="E68" s="13"/>
      <c r="F68" s="13"/>
      <c r="G68" s="13"/>
      <c r="H68" s="14"/>
    </row>
    <row r="69" spans="1:8" ht="21" hidden="1" customHeight="1">
      <c r="A69" s="12"/>
      <c r="B69" s="60" t="str">
        <f>DATA!A59</f>
        <v>Arri Orbiter Chimera</v>
      </c>
      <c r="C69" s="12"/>
      <c r="D69" s="71"/>
      <c r="E69" s="13"/>
      <c r="F69" s="13"/>
      <c r="G69" s="13"/>
      <c r="H69" s="14"/>
    </row>
    <row r="70" spans="1:8" ht="21" hidden="1" customHeight="1">
      <c r="A70" s="12"/>
      <c r="B70" s="60" t="str">
        <f>DATA!A60</f>
        <v xml:space="preserve">Arri Pocket Par 400W </v>
      </c>
      <c r="C70" s="12"/>
      <c r="D70" s="71"/>
      <c r="E70" s="13"/>
      <c r="F70" s="13"/>
      <c r="G70" s="13"/>
      <c r="H70" s="14"/>
    </row>
    <row r="71" spans="1:8" ht="21" hidden="1" customHeight="1">
      <c r="A71" s="12"/>
      <c r="B71" s="60" t="str">
        <f>DATA!A61</f>
        <v xml:space="preserve">Arri Pocket Par 400W Chimera </v>
      </c>
      <c r="C71" s="12"/>
      <c r="D71" s="71"/>
      <c r="E71" s="13"/>
      <c r="F71" s="13"/>
      <c r="G71" s="13"/>
      <c r="H71" s="14"/>
    </row>
    <row r="72" spans="1:8" ht="21" hidden="1" customHeight="1">
      <c r="A72" s="12"/>
      <c r="B72" s="60" t="str">
        <f>DATA!A62</f>
        <v xml:space="preserve">Arri Signature Primes Lens Kit – 18,25,35,47,75,125mm </v>
      </c>
      <c r="C72" s="12"/>
      <c r="D72" s="71"/>
      <c r="E72" s="13"/>
      <c r="F72" s="13"/>
      <c r="G72" s="13"/>
      <c r="H72" s="14"/>
    </row>
    <row r="73" spans="1:8" ht="21" hidden="1" customHeight="1">
      <c r="A73" s="12"/>
      <c r="B73" s="60" t="str">
        <f>DATA!A63</f>
        <v>Arri Skypanel S120-C</v>
      </c>
      <c r="C73" s="12"/>
      <c r="D73" s="71"/>
      <c r="E73" s="13"/>
      <c r="F73" s="13"/>
      <c r="G73" s="13"/>
      <c r="H73" s="14"/>
    </row>
    <row r="74" spans="1:8" ht="21" hidden="1" customHeight="1">
      <c r="A74" s="12"/>
      <c r="B74" s="60" t="str">
        <f>DATA!A64</f>
        <v>Arri Skypanel S30-C</v>
      </c>
      <c r="C74" s="12"/>
      <c r="D74" s="71"/>
      <c r="E74" s="13"/>
      <c r="F74" s="13"/>
      <c r="G74" s="13"/>
      <c r="H74" s="14"/>
    </row>
    <row r="75" spans="1:8" ht="21" hidden="1" customHeight="1">
      <c r="A75" s="12"/>
      <c r="B75" s="60" t="str">
        <f>DATA!A65</f>
        <v xml:space="preserve">Arri Skypanel S360-C </v>
      </c>
      <c r="C75" s="12"/>
      <c r="D75" s="71"/>
      <c r="E75" s="13"/>
      <c r="F75" s="13"/>
      <c r="G75" s="13"/>
      <c r="H75" s="14"/>
    </row>
    <row r="76" spans="1:8" ht="21" hidden="1" customHeight="1">
      <c r="A76" s="12"/>
      <c r="B76" s="60" t="str">
        <f>DATA!A66</f>
        <v>Arri Skypanel S60-C</v>
      </c>
      <c r="C76" s="12"/>
      <c r="D76" s="71"/>
      <c r="E76" s="13"/>
      <c r="F76" s="13"/>
      <c r="G76" s="13"/>
      <c r="H76" s="14"/>
    </row>
    <row r="77" spans="1:8" ht="21" hidden="1" customHeight="1">
      <c r="A77" s="12"/>
      <c r="B77" s="60" t="str">
        <f>DATA!A67</f>
        <v xml:space="preserve">Arri T2 </v>
      </c>
      <c r="C77" s="12"/>
      <c r="D77" s="71"/>
      <c r="E77" s="13"/>
      <c r="F77" s="13"/>
      <c r="G77" s="13"/>
      <c r="H77" s="14"/>
    </row>
    <row r="78" spans="1:8" ht="21" hidden="1" customHeight="1">
      <c r="A78" s="12"/>
      <c r="B78" s="60" t="str">
        <f>DATA!A68</f>
        <v xml:space="preserve">Arri T5 </v>
      </c>
      <c r="C78" s="12"/>
      <c r="D78" s="71"/>
      <c r="E78" s="13"/>
      <c r="F78" s="13"/>
      <c r="G78" s="13"/>
      <c r="H78" s="14"/>
    </row>
    <row r="79" spans="1:8" ht="21" hidden="1" customHeight="1">
      <c r="A79" s="12"/>
      <c r="B79" s="60" t="str">
        <f>DATA!A69</f>
        <v>Arri WCU4 Wireless Focus</v>
      </c>
      <c r="C79" s="12"/>
      <c r="D79" s="71"/>
      <c r="E79" s="13"/>
      <c r="F79" s="13"/>
      <c r="G79" s="13"/>
      <c r="H79" s="14"/>
    </row>
    <row r="80" spans="1:8" ht="21" hidden="1" customHeight="1">
      <c r="A80" s="12"/>
      <c r="B80" s="60" t="str">
        <f>DATA!A70</f>
        <v>Art Director</v>
      </c>
      <c r="C80" s="12"/>
      <c r="D80" s="71"/>
      <c r="E80" s="13"/>
      <c r="F80" s="13"/>
      <c r="G80" s="13"/>
      <c r="H80" s="14"/>
    </row>
    <row r="81" spans="1:8" ht="21" hidden="1" customHeight="1">
      <c r="A81" s="12"/>
      <c r="B81" s="60" t="str">
        <f>DATA!A71</f>
        <v>Art Director Assistant</v>
      </c>
      <c r="C81" s="12"/>
      <c r="D81" s="71"/>
      <c r="E81" s="13"/>
      <c r="F81" s="13"/>
      <c r="G81" s="13"/>
      <c r="H81" s="14"/>
    </row>
    <row r="82" spans="1:8" ht="21" hidden="1" customHeight="1">
      <c r="A82" s="12"/>
      <c r="B82" s="60" t="str">
        <f>DATA!A72</f>
        <v>Assistant Director</v>
      </c>
      <c r="C82" s="12"/>
      <c r="D82" s="71"/>
      <c r="E82" s="13"/>
      <c r="F82" s="13"/>
      <c r="G82" s="13"/>
      <c r="H82" s="14"/>
    </row>
    <row r="83" spans="1:8" ht="21" hidden="1" customHeight="1">
      <c r="A83" s="12"/>
      <c r="B83" s="60" t="str">
        <f>DATA!A73</f>
        <v>Assistant Director (1st AD)</v>
      </c>
      <c r="C83" s="12"/>
      <c r="D83" s="71"/>
      <c r="E83" s="13"/>
      <c r="F83" s="13"/>
      <c r="G83" s="13"/>
      <c r="H83" s="14"/>
    </row>
    <row r="84" spans="1:8" ht="21" hidden="1" customHeight="1">
      <c r="A84" s="12"/>
      <c r="B84" s="60" t="str">
        <f>DATA!A74</f>
        <v>Assistant Producer</v>
      </c>
      <c r="C84" s="12"/>
      <c r="D84" s="71"/>
      <c r="E84" s="13"/>
      <c r="F84" s="13"/>
      <c r="G84" s="13"/>
      <c r="H84" s="14"/>
    </row>
    <row r="85" spans="1:8" ht="21" hidden="1" customHeight="1">
      <c r="A85" s="12"/>
      <c r="B85" s="60" t="str">
        <f>DATA!A75</f>
        <v>Assistant Sound Engineer</v>
      </c>
      <c r="C85" s="12"/>
      <c r="D85" s="71"/>
      <c r="E85" s="13"/>
      <c r="F85" s="13"/>
      <c r="G85" s="13"/>
      <c r="H85" s="14"/>
    </row>
    <row r="86" spans="1:8" ht="21" hidden="1" customHeight="1">
      <c r="A86" s="12"/>
      <c r="B86" s="60" t="str">
        <f>DATA!A76</f>
        <v>ASTERA 2M</v>
      </c>
      <c r="C86" s="12"/>
      <c r="D86" s="71"/>
      <c r="E86" s="13"/>
      <c r="F86" s="13"/>
      <c r="G86" s="13"/>
      <c r="H86" s="14"/>
    </row>
    <row r="87" spans="1:8" ht="21" hidden="1" customHeight="1">
      <c r="A87" s="12"/>
      <c r="B87" s="60" t="str">
        <f>DATA!A77</f>
        <v xml:space="preserve">ASTERA AX10 </v>
      </c>
      <c r="C87" s="12"/>
      <c r="D87" s="71"/>
      <c r="E87" s="13"/>
      <c r="F87" s="13"/>
      <c r="G87" s="13"/>
      <c r="H87" s="14"/>
    </row>
    <row r="88" spans="1:8" ht="21" hidden="1" customHeight="1">
      <c r="A88" s="12"/>
      <c r="B88" s="60" t="str">
        <f>DATA!A78</f>
        <v>ASTERA AX2 100sm</v>
      </c>
      <c r="C88" s="12"/>
      <c r="D88" s="71"/>
      <c r="E88" s="13"/>
      <c r="F88" s="13"/>
      <c r="G88" s="13"/>
      <c r="H88" s="14"/>
    </row>
    <row r="89" spans="1:8" ht="21" hidden="1" customHeight="1">
      <c r="A89" s="12"/>
      <c r="B89" s="60" t="str">
        <f>DATA!A79</f>
        <v>ASTERA AX2 50sm</v>
      </c>
      <c r="C89" s="12"/>
      <c r="D89" s="71"/>
      <c r="E89" s="13"/>
      <c r="F89" s="13"/>
      <c r="G89" s="13"/>
      <c r="H89" s="14"/>
    </row>
    <row r="90" spans="1:8" ht="21" hidden="1" customHeight="1">
      <c r="A90" s="12"/>
      <c r="B90" s="60" t="str">
        <f>DATA!A80</f>
        <v>ASTERA AX3</v>
      </c>
      <c r="C90" s="12"/>
      <c r="D90" s="71"/>
      <c r="E90" s="13"/>
      <c r="F90" s="13"/>
      <c r="G90" s="13"/>
      <c r="H90" s="14"/>
    </row>
    <row r="91" spans="1:8" ht="21" hidden="1" customHeight="1">
      <c r="A91" s="12"/>
      <c r="B91" s="60" t="str">
        <f>DATA!A81</f>
        <v>ASTERA AX5</v>
      </c>
      <c r="C91" s="12"/>
      <c r="D91" s="71"/>
      <c r="E91" s="13"/>
      <c r="F91" s="13"/>
      <c r="G91" s="13"/>
      <c r="H91" s="14"/>
    </row>
    <row r="92" spans="1:8" ht="21" hidden="1" customHeight="1">
      <c r="A92" s="12"/>
      <c r="B92" s="60" t="str">
        <f>DATA!A82</f>
        <v>ASTERA AX9</v>
      </c>
      <c r="C92" s="12"/>
      <c r="D92" s="71"/>
      <c r="E92" s="13"/>
      <c r="F92" s="13"/>
      <c r="G92" s="13"/>
      <c r="H92" s="14"/>
    </row>
    <row r="93" spans="1:8" ht="21" hidden="1" customHeight="1">
      <c r="A93" s="12"/>
      <c r="B93" s="60" t="str">
        <f>DATA!A83</f>
        <v xml:space="preserve">ASTERA bulbs set of 6, with batteries </v>
      </c>
      <c r="C93" s="12"/>
      <c r="D93" s="71"/>
      <c r="E93" s="13"/>
      <c r="F93" s="13"/>
      <c r="G93" s="13"/>
      <c r="H93" s="14"/>
    </row>
    <row r="94" spans="1:8" ht="21" hidden="1" customHeight="1">
      <c r="A94" s="12"/>
      <c r="B94" s="60" t="str">
        <f>DATA!A84</f>
        <v xml:space="preserve">ASTERA Helios Tubes Kit (8 Tubes) – 60cm </v>
      </c>
      <c r="C94" s="12"/>
      <c r="D94" s="71"/>
      <c r="E94" s="13"/>
      <c r="F94" s="13"/>
      <c r="G94" s="13"/>
      <c r="H94" s="14"/>
    </row>
    <row r="95" spans="1:8" ht="21" hidden="1" customHeight="1">
      <c r="A95" s="12"/>
      <c r="B95" s="60" t="str">
        <f>DATA!A85</f>
        <v xml:space="preserve">ASTERA Hybrid 9K </v>
      </c>
      <c r="C95" s="12"/>
      <c r="D95" s="71"/>
      <c r="E95" s="13"/>
      <c r="F95" s="13"/>
      <c r="G95" s="13"/>
      <c r="H95" s="14"/>
    </row>
    <row r="96" spans="1:8" ht="21" hidden="1" customHeight="1">
      <c r="A96" s="12"/>
      <c r="B96" s="60" t="str">
        <f>DATA!A86</f>
        <v>ASTERA NYXE</v>
      </c>
      <c r="C96" s="12"/>
      <c r="D96" s="71"/>
      <c r="E96" s="13"/>
      <c r="F96" s="13"/>
      <c r="G96" s="13"/>
      <c r="H96" s="14"/>
    </row>
    <row r="97" spans="1:8" ht="21" hidden="1" customHeight="1">
      <c r="A97" s="12"/>
      <c r="B97" s="60" t="str">
        <f>DATA!A87</f>
        <v xml:space="preserve">ASTERA Titan Tubes Kit (8 Tubes) – 120cm </v>
      </c>
      <c r="C97" s="12"/>
      <c r="D97" s="71"/>
      <c r="E97" s="13"/>
      <c r="F97" s="13"/>
      <c r="G97" s="13"/>
      <c r="H97" s="14"/>
    </row>
    <row r="98" spans="1:8" ht="21" hidden="1" customHeight="1">
      <c r="A98" s="12"/>
      <c r="B98" s="60" t="str">
        <f>DATA!A88</f>
        <v>Atomos 20''</v>
      </c>
      <c r="C98" s="12"/>
      <c r="D98" s="71"/>
      <c r="E98" s="13"/>
      <c r="F98" s="13"/>
      <c r="G98" s="13"/>
      <c r="H98" s="14"/>
    </row>
    <row r="99" spans="1:8" ht="21" hidden="1" customHeight="1">
      <c r="A99" s="12"/>
      <c r="B99" s="60" t="str">
        <f>DATA!A89</f>
        <v>Atomos 9''</v>
      </c>
      <c r="C99" s="12"/>
      <c r="D99" s="71"/>
      <c r="E99" s="13"/>
      <c r="F99" s="13"/>
      <c r="G99" s="13"/>
      <c r="H99" s="14"/>
    </row>
    <row r="100" spans="1:8" ht="21" hidden="1" customHeight="1">
      <c r="A100" s="12"/>
      <c r="B100" s="60" t="str">
        <f>DATA!A90</f>
        <v xml:space="preserve">Atomos Sumo Recorder 19” </v>
      </c>
      <c r="C100" s="12"/>
      <c r="D100" s="71"/>
      <c r="E100" s="13"/>
      <c r="F100" s="13"/>
      <c r="G100" s="13"/>
      <c r="H100" s="14"/>
    </row>
    <row r="101" spans="1:8" ht="21" hidden="1" customHeight="1">
      <c r="A101" s="12"/>
      <c r="B101" s="60" t="str">
        <f>DATA!A91</f>
        <v>Auto Cue</v>
      </c>
      <c r="C101" s="12"/>
      <c r="D101" s="71"/>
      <c r="E101" s="13"/>
      <c r="F101" s="13"/>
      <c r="G101" s="13"/>
      <c r="H101" s="14"/>
    </row>
    <row r="102" spans="1:8" ht="21" hidden="1" customHeight="1">
      <c r="A102" s="12"/>
      <c r="B102" s="60" t="str">
        <f>DATA!A92</f>
        <v>Auto-cue Operator (Teleprompter)</v>
      </c>
      <c r="C102" s="12"/>
      <c r="D102" s="71"/>
      <c r="E102" s="13"/>
      <c r="F102" s="13"/>
      <c r="G102" s="13"/>
      <c r="H102" s="14"/>
    </row>
    <row r="103" spans="1:8" ht="21" hidden="1" customHeight="1">
      <c r="A103" s="12"/>
      <c r="B103" s="60" t="str">
        <f>DATA!A93</f>
        <v>Balon 1800 HMI</v>
      </c>
      <c r="C103" s="12"/>
      <c r="D103" s="71"/>
      <c r="E103" s="13"/>
      <c r="F103" s="13"/>
      <c r="G103" s="13"/>
      <c r="H103" s="14"/>
    </row>
    <row r="104" spans="1:8" ht="21" hidden="1" customHeight="1">
      <c r="A104" s="12"/>
      <c r="B104" s="60" t="str">
        <f>DATA!A94</f>
        <v>Balon 40 HMI</v>
      </c>
      <c r="C104" s="12"/>
      <c r="D104" s="71"/>
      <c r="E104" s="13"/>
      <c r="F104" s="13"/>
      <c r="G104" s="13"/>
      <c r="H104" s="14"/>
    </row>
    <row r="105" spans="1:8" ht="21" hidden="1" customHeight="1">
      <c r="A105" s="12"/>
      <c r="B105" s="60" t="str">
        <f>DATA!A95</f>
        <v>Balon 6/9 HMI</v>
      </c>
      <c r="C105" s="12"/>
      <c r="D105" s="71"/>
      <c r="E105" s="13"/>
      <c r="F105" s="13"/>
      <c r="G105" s="13"/>
      <c r="H105" s="14"/>
    </row>
    <row r="106" spans="1:8" ht="21" hidden="1" customHeight="1">
      <c r="A106" s="12"/>
      <c r="B106" s="60" t="str">
        <f>DATA!A96</f>
        <v>Bar LED</v>
      </c>
      <c r="C106" s="12"/>
      <c r="D106" s="71"/>
      <c r="E106" s="13"/>
      <c r="F106" s="13"/>
      <c r="G106" s="13"/>
      <c r="H106" s="14"/>
    </row>
    <row r="107" spans="1:8" ht="21" hidden="1" customHeight="1">
      <c r="A107" s="12"/>
      <c r="B107" s="60" t="str">
        <f>DATA!A97</f>
        <v>Batteries</v>
      </c>
      <c r="C107" s="12"/>
      <c r="D107" s="71"/>
      <c r="E107" s="13"/>
      <c r="F107" s="13"/>
      <c r="G107" s="13"/>
      <c r="H107" s="14"/>
    </row>
    <row r="108" spans="1:8" ht="21" hidden="1" customHeight="1">
      <c r="A108" s="12"/>
      <c r="B108" s="60" t="str">
        <f>DATA!A98</f>
        <v>Best Boy Electric - Lighting Assistant</v>
      </c>
      <c r="C108" s="12"/>
      <c r="D108" s="71"/>
      <c r="E108" s="13"/>
      <c r="F108" s="13"/>
      <c r="G108" s="13"/>
      <c r="H108" s="14"/>
    </row>
    <row r="109" spans="1:8" ht="21" hidden="1" customHeight="1">
      <c r="A109" s="12"/>
      <c r="B109" s="60" t="str">
        <f>DATA!A99</f>
        <v>Best Boy Grip</v>
      </c>
      <c r="C109" s="12"/>
      <c r="D109" s="71"/>
      <c r="E109" s="13"/>
      <c r="F109" s="13"/>
      <c r="G109" s="13"/>
      <c r="H109" s="14"/>
    </row>
    <row r="110" spans="1:8" ht="21" hidden="1" customHeight="1">
      <c r="A110" s="12"/>
      <c r="B110" s="60" t="str">
        <f>DATA!A100</f>
        <v>BIG REFLECTOR</v>
      </c>
      <c r="C110" s="12"/>
      <c r="D110" s="71"/>
      <c r="E110" s="13"/>
      <c r="F110" s="13"/>
      <c r="G110" s="13"/>
      <c r="H110" s="14"/>
    </row>
    <row r="111" spans="1:8" ht="21" hidden="1" customHeight="1">
      <c r="A111" s="12"/>
      <c r="B111" s="60" t="str">
        <f>DATA!A101</f>
        <v>Black Stand</v>
      </c>
      <c r="C111" s="12"/>
      <c r="D111" s="71"/>
      <c r="E111" s="13"/>
      <c r="F111" s="13"/>
      <c r="G111" s="13"/>
      <c r="H111" s="14"/>
    </row>
    <row r="112" spans="1:8" ht="21" hidden="1" customHeight="1">
      <c r="A112" s="12"/>
      <c r="B112" s="60" t="str">
        <f>DATA!A102</f>
        <v>Blackmagic URSA Mini Pro</v>
      </c>
      <c r="C112" s="12"/>
      <c r="D112" s="71"/>
      <c r="E112" s="13"/>
      <c r="F112" s="13"/>
      <c r="G112" s="13"/>
      <c r="H112" s="14"/>
    </row>
    <row r="113" spans="1:8" ht="21" hidden="1" customHeight="1">
      <c r="A113" s="12"/>
      <c r="B113" s="60" t="str">
        <f>DATA!A103</f>
        <v>BOKET LED</v>
      </c>
      <c r="C113" s="12"/>
      <c r="D113" s="71"/>
      <c r="E113" s="13"/>
      <c r="F113" s="13"/>
      <c r="G113" s="13"/>
      <c r="H113" s="14"/>
    </row>
    <row r="114" spans="1:8" ht="21" hidden="1" customHeight="1">
      <c r="A114" s="12"/>
      <c r="B114" s="60" t="str">
        <f>DATA!A104</f>
        <v>Boom Arm Small</v>
      </c>
      <c r="C114" s="12"/>
      <c r="D114" s="71"/>
      <c r="E114" s="13"/>
      <c r="F114" s="13"/>
      <c r="G114" s="13"/>
      <c r="H114" s="14"/>
    </row>
    <row r="115" spans="1:8" ht="21" hidden="1" customHeight="1">
      <c r="A115" s="12"/>
      <c r="B115" s="60" t="str">
        <f>DATA!A105</f>
        <v xml:space="preserve">Boom Operator </v>
      </c>
      <c r="C115" s="12"/>
      <c r="D115" s="71"/>
      <c r="E115" s="13"/>
      <c r="F115" s="13"/>
      <c r="G115" s="13"/>
      <c r="H115" s="14"/>
    </row>
    <row r="116" spans="1:8" ht="21" hidden="1" customHeight="1">
      <c r="A116" s="12"/>
      <c r="B116" s="60" t="str">
        <f>DATA!A106</f>
        <v>Boom Stand Big</v>
      </c>
      <c r="C116" s="12"/>
      <c r="D116" s="71"/>
      <c r="E116" s="13"/>
      <c r="F116" s="13"/>
      <c r="G116" s="13"/>
      <c r="H116" s="14"/>
    </row>
    <row r="117" spans="1:8" ht="21" hidden="1" customHeight="1">
      <c r="A117" s="12"/>
      <c r="B117" s="60" t="str">
        <f>DATA!A107</f>
        <v>Boom Stand Small</v>
      </c>
      <c r="C117" s="12"/>
      <c r="D117" s="71"/>
      <c r="E117" s="13"/>
      <c r="F117" s="13"/>
      <c r="G117" s="13"/>
      <c r="H117" s="14"/>
    </row>
    <row r="118" spans="1:8" ht="21" hidden="1" customHeight="1">
      <c r="A118" s="12"/>
      <c r="B118" s="60" t="str">
        <f>DATA!A108</f>
        <v>BOOM LIGHT STAND</v>
      </c>
      <c r="C118" s="12"/>
      <c r="D118" s="71"/>
      <c r="E118" s="13"/>
      <c r="F118" s="13"/>
      <c r="G118" s="13"/>
      <c r="H118" s="14"/>
    </row>
    <row r="119" spans="1:8" ht="21" hidden="1" customHeight="1">
      <c r="A119" s="12"/>
      <c r="B119" s="60" t="str">
        <f>DATA!A109</f>
        <v>Brexel Breke LED</v>
      </c>
      <c r="C119" s="12"/>
      <c r="D119" s="71"/>
      <c r="E119" s="13"/>
      <c r="F119" s="13"/>
      <c r="G119" s="13"/>
      <c r="H119" s="14"/>
    </row>
    <row r="120" spans="1:8" ht="21" hidden="1" customHeight="1">
      <c r="A120" s="12"/>
      <c r="B120" s="60" t="str">
        <f>DATA!A110</f>
        <v>C Stand</v>
      </c>
      <c r="C120" s="12"/>
      <c r="D120" s="71"/>
      <c r="E120" s="13"/>
      <c r="F120" s="13"/>
      <c r="G120" s="13"/>
      <c r="H120" s="14"/>
    </row>
    <row r="121" spans="1:8" ht="21" hidden="1" customHeight="1">
      <c r="A121" s="12"/>
      <c r="B121" s="60" t="str">
        <f>DATA!A111</f>
        <v>Calligrapher</v>
      </c>
      <c r="C121" s="12"/>
      <c r="D121" s="71"/>
      <c r="E121" s="13"/>
      <c r="F121" s="13"/>
      <c r="G121" s="13"/>
      <c r="H121" s="14"/>
    </row>
    <row r="122" spans="1:8" ht="21" hidden="1" customHeight="1">
      <c r="A122" s="12"/>
      <c r="B122" s="60" t="str">
        <f>DATA!A112</f>
        <v>Camera Assistant (2nd AC)</v>
      </c>
      <c r="C122" s="12"/>
      <c r="D122" s="71"/>
      <c r="E122" s="13"/>
      <c r="F122" s="13"/>
      <c r="G122" s="13"/>
      <c r="H122" s="14"/>
    </row>
    <row r="123" spans="1:8" ht="21" hidden="1" customHeight="1">
      <c r="A123" s="12"/>
      <c r="B123" s="60" t="str">
        <f>DATA!A113</f>
        <v>Camera Control Unit - CCU</v>
      </c>
      <c r="C123" s="12"/>
      <c r="D123" s="71"/>
      <c r="E123" s="13"/>
      <c r="F123" s="13"/>
      <c r="G123" s="13"/>
      <c r="H123" s="14"/>
    </row>
    <row r="124" spans="1:8" ht="21" hidden="1" customHeight="1">
      <c r="A124" s="12"/>
      <c r="B124" s="60" t="str">
        <f>DATA!A114</f>
        <v>Camera Helper</v>
      </c>
      <c r="C124" s="12"/>
      <c r="D124" s="71"/>
      <c r="E124" s="13"/>
      <c r="F124" s="13"/>
      <c r="G124" s="13"/>
      <c r="H124" s="14"/>
    </row>
    <row r="125" spans="1:8" ht="21" hidden="1" customHeight="1">
      <c r="A125" s="12"/>
      <c r="B125" s="60" t="str">
        <f>DATA!A115</f>
        <v>Camera Operator</v>
      </c>
      <c r="C125" s="12"/>
      <c r="D125" s="71"/>
      <c r="E125" s="13"/>
      <c r="F125" s="13"/>
      <c r="G125" s="13"/>
      <c r="H125" s="14"/>
    </row>
    <row r="126" spans="1:8" ht="21" hidden="1" customHeight="1">
      <c r="A126" s="12"/>
      <c r="B126" s="60" t="str">
        <f>DATA!A116</f>
        <v>Camera Va (Abu Dhabi)</v>
      </c>
      <c r="C126" s="12"/>
      <c r="D126" s="71"/>
      <c r="E126" s="13"/>
      <c r="F126" s="13"/>
      <c r="G126" s="13"/>
      <c r="H126" s="14"/>
    </row>
    <row r="127" spans="1:8" ht="21" hidden="1" customHeight="1">
      <c r="A127" s="12"/>
      <c r="B127" s="60" t="str">
        <f>DATA!A117</f>
        <v>Cameraman</v>
      </c>
      <c r="C127" s="12"/>
      <c r="D127" s="71"/>
      <c r="E127" s="13"/>
      <c r="F127" s="13"/>
      <c r="G127" s="13"/>
      <c r="H127" s="14"/>
    </row>
    <row r="128" spans="1:8" ht="21" hidden="1" customHeight="1">
      <c r="A128" s="12"/>
      <c r="B128" s="60" t="str">
        <f>DATA!A118</f>
        <v>Cameraman Assistant</v>
      </c>
      <c r="C128" s="12"/>
      <c r="D128" s="71"/>
      <c r="E128" s="13"/>
      <c r="F128" s="13"/>
      <c r="G128" s="13"/>
      <c r="H128" s="14"/>
    </row>
    <row r="129" spans="1:8" ht="21" hidden="1" customHeight="1">
      <c r="A129" s="12"/>
      <c r="B129" s="60" t="str">
        <f>DATA!A119</f>
        <v>Canon C300 MII</v>
      </c>
      <c r="C129" s="12"/>
      <c r="D129" s="71"/>
      <c r="E129" s="13"/>
      <c r="F129" s="13"/>
      <c r="G129" s="13"/>
      <c r="H129" s="14"/>
    </row>
    <row r="130" spans="1:8" ht="21" hidden="1" customHeight="1">
      <c r="A130" s="12"/>
      <c r="B130" s="60" t="str">
        <f>DATA!A120</f>
        <v>Canon C300 MIII</v>
      </c>
      <c r="C130" s="12"/>
      <c r="D130" s="71"/>
      <c r="E130" s="13"/>
      <c r="F130" s="13"/>
      <c r="G130" s="13"/>
      <c r="H130" s="14"/>
    </row>
    <row r="131" spans="1:8" ht="21" hidden="1" customHeight="1">
      <c r="A131" s="12"/>
      <c r="B131" s="60" t="str">
        <f>DATA!A121</f>
        <v>Canon EF 16-35mm f/2.8L III USM Lens</v>
      </c>
      <c r="C131" s="12"/>
      <c r="D131" s="71"/>
      <c r="E131" s="13"/>
      <c r="F131" s="13"/>
      <c r="G131" s="13"/>
      <c r="H131" s="14"/>
    </row>
    <row r="132" spans="1:8" ht="21" hidden="1" customHeight="1">
      <c r="A132" s="12"/>
      <c r="B132" s="60" t="str">
        <f>DATA!A122</f>
        <v>Canon EF 24-105mm f/4L IS II USM Lens</v>
      </c>
      <c r="C132" s="12"/>
      <c r="D132" s="71"/>
      <c r="E132" s="13"/>
      <c r="F132" s="13"/>
      <c r="G132" s="13"/>
      <c r="H132" s="14"/>
    </row>
    <row r="133" spans="1:8" ht="21" hidden="1" customHeight="1">
      <c r="A133" s="12"/>
      <c r="B133" s="60" t="str">
        <f>DATA!A123</f>
        <v>Canon EF 24-70mm f/2.8L II USM Lens</v>
      </c>
      <c r="C133" s="12"/>
      <c r="D133" s="71"/>
      <c r="E133" s="13"/>
      <c r="F133" s="13"/>
      <c r="G133" s="13"/>
      <c r="H133" s="14"/>
    </row>
    <row r="134" spans="1:8" ht="21" hidden="1" customHeight="1">
      <c r="A134" s="12"/>
      <c r="B134" s="60" t="str">
        <f>DATA!A124</f>
        <v>Canon EF 35mm f/1.4L II USM Lens</v>
      </c>
      <c r="C134" s="12"/>
      <c r="D134" s="71"/>
      <c r="E134" s="13"/>
      <c r="F134" s="13"/>
      <c r="G134" s="13"/>
      <c r="H134" s="14"/>
    </row>
    <row r="135" spans="1:8" ht="21" hidden="1" customHeight="1">
      <c r="A135" s="12"/>
      <c r="B135" s="60" t="str">
        <f>DATA!A125</f>
        <v>Canon EF 400mm f/4 DO IS II USM Lens</v>
      </c>
      <c r="C135" s="12"/>
      <c r="D135" s="71"/>
      <c r="E135" s="13"/>
      <c r="F135" s="13"/>
      <c r="G135" s="13"/>
      <c r="H135" s="14"/>
    </row>
    <row r="136" spans="1:8" ht="21" hidden="1" customHeight="1">
      <c r="A136" s="12"/>
      <c r="B136" s="60" t="str">
        <f>DATA!A126</f>
        <v>Canon EF 50mm f/1.8 STM Lens</v>
      </c>
      <c r="C136" s="12"/>
      <c r="D136" s="71"/>
      <c r="E136" s="13"/>
      <c r="F136" s="13"/>
      <c r="G136" s="13"/>
      <c r="H136" s="14"/>
    </row>
    <row r="137" spans="1:8" ht="21" hidden="1" customHeight="1">
      <c r="A137" s="12"/>
      <c r="B137" s="60" t="str">
        <f>DATA!A127</f>
        <v>Canon EF 70-300mm f/4-5.6 IS II USM Lens</v>
      </c>
      <c r="C137" s="12"/>
      <c r="D137" s="71"/>
      <c r="E137" s="13"/>
      <c r="F137" s="13"/>
      <c r="G137" s="13"/>
      <c r="H137" s="14"/>
    </row>
    <row r="138" spans="1:8" ht="21" hidden="1" customHeight="1">
      <c r="A138" s="12"/>
      <c r="B138" s="60" t="str">
        <f>DATA!A128</f>
        <v>Canon EF 8-15mm f/4L Fisheye USM Lens</v>
      </c>
      <c r="C138" s="12"/>
      <c r="D138" s="71"/>
      <c r="E138" s="13"/>
      <c r="F138" s="13"/>
      <c r="G138" s="13"/>
      <c r="H138" s="14"/>
    </row>
    <row r="139" spans="1:8" ht="21" hidden="1" customHeight="1">
      <c r="A139" s="12"/>
      <c r="B139" s="60" t="str">
        <f>DATA!A129</f>
        <v>Canon EF 85mm f/1.8 USM Lens</v>
      </c>
      <c r="C139" s="12"/>
      <c r="D139" s="71"/>
      <c r="E139" s="13"/>
      <c r="F139" s="13"/>
      <c r="G139" s="13"/>
      <c r="H139" s="14"/>
    </row>
    <row r="140" spans="1:8" ht="21" hidden="1" customHeight="1">
      <c r="A140" s="12"/>
      <c r="B140" s="60" t="str">
        <f>DATA!A130</f>
        <v>Canon EF-S 24mm f/2.8 STM Lens</v>
      </c>
      <c r="C140" s="12"/>
      <c r="D140" s="71"/>
      <c r="E140" s="13"/>
      <c r="F140" s="13"/>
      <c r="G140" s="13"/>
      <c r="H140" s="14"/>
    </row>
    <row r="141" spans="1:8" ht="21" hidden="1" customHeight="1">
      <c r="A141" s="12"/>
      <c r="B141" s="60" t="str">
        <f>DATA!A131</f>
        <v xml:space="preserve">Canon K35 Lens Kit – 18,24,35,55,85mm </v>
      </c>
      <c r="C141" s="12"/>
      <c r="D141" s="71"/>
      <c r="E141" s="13"/>
      <c r="F141" s="13"/>
      <c r="G141" s="13"/>
      <c r="H141" s="14"/>
    </row>
    <row r="142" spans="1:8" ht="21" hidden="1" customHeight="1">
      <c r="A142" s="12"/>
      <c r="B142" s="60" t="str">
        <f>DATA!A132</f>
        <v>Canon RF 100-400mm f/5.6-8 IS USM Lens</v>
      </c>
      <c r="C142" s="12"/>
      <c r="D142" s="71"/>
      <c r="E142" s="13"/>
      <c r="F142" s="13"/>
      <c r="G142" s="13"/>
      <c r="H142" s="14"/>
    </row>
    <row r="143" spans="1:8" ht="21" hidden="1" customHeight="1">
      <c r="A143" s="12"/>
      <c r="B143" s="60" t="str">
        <f>DATA!A133</f>
        <v>Canon RF 100mm f/2.8 L Macro IS USM Lens</v>
      </c>
      <c r="C143" s="12"/>
      <c r="D143" s="71"/>
      <c r="E143" s="13"/>
      <c r="F143" s="13"/>
      <c r="G143" s="13"/>
      <c r="H143" s="14"/>
    </row>
    <row r="144" spans="1:8" ht="21" hidden="1" customHeight="1">
      <c r="A144" s="12"/>
      <c r="B144" s="60" t="str">
        <f>DATA!A134</f>
        <v>Canon RF 135mm f/1.8 L IS USM Lens</v>
      </c>
      <c r="C144" s="12"/>
      <c r="D144" s="71"/>
      <c r="E144" s="13"/>
      <c r="F144" s="13"/>
      <c r="G144" s="13"/>
      <c r="H144" s="14"/>
    </row>
    <row r="145" spans="1:8" ht="21" hidden="1" customHeight="1">
      <c r="A145" s="12"/>
      <c r="B145" s="60" t="str">
        <f>DATA!A135</f>
        <v>Canon RF 5.2mm f/2.8 L Dual Fisheye 3D VR Lens</v>
      </c>
      <c r="C145" s="12"/>
      <c r="D145" s="71"/>
      <c r="E145" s="13"/>
      <c r="F145" s="13"/>
      <c r="G145" s="13"/>
      <c r="H145" s="14"/>
    </row>
    <row r="146" spans="1:8" ht="21" hidden="1" customHeight="1">
      <c r="A146" s="12"/>
      <c r="B146" s="60" t="str">
        <f>DATA!A136</f>
        <v>Canon RF 70-200mm f/2.8 L IS USM Lens</v>
      </c>
      <c r="C146" s="12"/>
      <c r="D146" s="71"/>
      <c r="E146" s="13"/>
      <c r="F146" s="13"/>
      <c r="G146" s="13"/>
      <c r="H146" s="14"/>
    </row>
    <row r="147" spans="1:8" ht="21" hidden="1" customHeight="1">
      <c r="A147" s="12"/>
      <c r="B147" s="60" t="str">
        <f>DATA!A137</f>
        <v>Canon RF-S 10-18mm f/4.5-6.3 IS STM Lens</v>
      </c>
      <c r="C147" s="12"/>
      <c r="D147" s="71"/>
      <c r="E147" s="13"/>
      <c r="F147" s="13"/>
      <c r="G147" s="13"/>
      <c r="H147" s="14"/>
    </row>
    <row r="148" spans="1:8" ht="21" hidden="1" customHeight="1">
      <c r="A148" s="12"/>
      <c r="B148" s="60" t="str">
        <f>DATA!A138</f>
        <v>Canon TS-E 24mm f/3.5L II Tilt-Shift Lens</v>
      </c>
      <c r="C148" s="12"/>
      <c r="D148" s="71"/>
      <c r="E148" s="13"/>
      <c r="F148" s="13"/>
      <c r="G148" s="13"/>
      <c r="H148" s="14"/>
    </row>
    <row r="149" spans="1:8" ht="21" hidden="1" customHeight="1">
      <c r="A149" s="12"/>
      <c r="B149" s="60" t="str">
        <f>DATA!A139</f>
        <v>Canon TS-E 45mm f/2.8 Tilt Shift Lens</v>
      </c>
      <c r="C149" s="12"/>
      <c r="D149" s="71"/>
      <c r="E149" s="13"/>
      <c r="F149" s="13"/>
      <c r="G149" s="13"/>
      <c r="H149" s="14"/>
    </row>
    <row r="150" spans="1:8" ht="21" hidden="1" customHeight="1">
      <c r="A150" s="12"/>
      <c r="B150" s="60" t="str">
        <f>DATA!A140</f>
        <v>Canon TS-E 50mm f/2.8L Macro Tilt-Shift Lens</v>
      </c>
      <c r="C150" s="12"/>
      <c r="D150" s="71"/>
      <c r="E150" s="13"/>
      <c r="F150" s="13"/>
      <c r="G150" s="13"/>
      <c r="H150" s="14"/>
    </row>
    <row r="151" spans="1:8" ht="21" hidden="1" customHeight="1">
      <c r="A151" s="12"/>
      <c r="B151" s="60" t="str">
        <f>DATA!A141</f>
        <v>Canon TS-E 90mm f/2.8L Macro Tilt-Shift Lens</v>
      </c>
      <c r="C151" s="12"/>
      <c r="D151" s="71"/>
      <c r="E151" s="13"/>
      <c r="F151" s="13"/>
      <c r="G151" s="13"/>
      <c r="H151" s="14"/>
    </row>
    <row r="152" spans="1:8" ht="21" hidden="1" customHeight="1">
      <c r="A152" s="12"/>
      <c r="B152" s="60" t="str">
        <f>DATA!A142</f>
        <v xml:space="preserve">Cartoni Focus 10 Tripod + Head </v>
      </c>
      <c r="C152" s="12"/>
      <c r="D152" s="71"/>
      <c r="E152" s="13"/>
      <c r="F152" s="13"/>
      <c r="G152" s="13"/>
      <c r="H152" s="14"/>
    </row>
    <row r="153" spans="1:8" ht="21" hidden="1" customHeight="1">
      <c r="A153" s="12"/>
      <c r="B153" s="60" t="str">
        <f>DATA!A143</f>
        <v xml:space="preserve">Cartoni Focus 18 Tripod + Head </v>
      </c>
      <c r="C153" s="12"/>
      <c r="D153" s="71"/>
      <c r="E153" s="13"/>
      <c r="F153" s="13"/>
      <c r="G153" s="13"/>
      <c r="H153" s="14"/>
    </row>
    <row r="154" spans="1:8" ht="21" hidden="1" customHeight="1">
      <c r="A154" s="12"/>
      <c r="B154" s="60" t="str">
        <f>DATA!A144</f>
        <v xml:space="preserve">Cartoni Head Master 30 + Tall &amp; Short Leg </v>
      </c>
      <c r="C154" s="12"/>
      <c r="D154" s="71"/>
      <c r="E154" s="13"/>
      <c r="F154" s="13"/>
      <c r="G154" s="13"/>
      <c r="H154" s="14"/>
    </row>
    <row r="155" spans="1:8" ht="21" hidden="1" customHeight="1">
      <c r="A155" s="12"/>
      <c r="B155" s="60" t="str">
        <f>DATA!A145</f>
        <v xml:space="preserve">Cartoni Head Master MK2 + Tall &amp; Short Leg </v>
      </c>
      <c r="C155" s="12"/>
      <c r="D155" s="71"/>
      <c r="E155" s="13"/>
      <c r="F155" s="13"/>
      <c r="G155" s="13"/>
      <c r="H155" s="14"/>
    </row>
    <row r="156" spans="1:8" ht="21" hidden="1" customHeight="1">
      <c r="A156" s="12"/>
      <c r="B156" s="60" t="str">
        <f>DATA!A146</f>
        <v xml:space="preserve">Cartoni Lambda Head – 2 Axis </v>
      </c>
      <c r="C156" s="12"/>
      <c r="D156" s="71"/>
      <c r="E156" s="13"/>
      <c r="F156" s="13"/>
      <c r="G156" s="13"/>
      <c r="H156" s="14"/>
    </row>
    <row r="157" spans="1:8" ht="21" hidden="1" customHeight="1">
      <c r="A157" s="12"/>
      <c r="B157" s="60" t="str">
        <f>DATA!A147</f>
        <v xml:space="preserve">Cartoni Lambda Head – 3 Axis </v>
      </c>
      <c r="C157" s="12"/>
      <c r="D157" s="71"/>
      <c r="E157" s="13"/>
      <c r="F157" s="13"/>
      <c r="G157" s="13"/>
      <c r="H157" s="14"/>
    </row>
    <row r="158" spans="1:8" ht="21" hidden="1" customHeight="1">
      <c r="A158" s="12"/>
      <c r="B158" s="60" t="str">
        <f>DATA!A148</f>
        <v>Casting Director</v>
      </c>
      <c r="C158" s="12"/>
      <c r="D158" s="71"/>
      <c r="E158" s="13"/>
      <c r="F158" s="13"/>
      <c r="G158" s="13"/>
      <c r="H158" s="14"/>
    </row>
    <row r="159" spans="1:8" ht="21" hidden="1" customHeight="1">
      <c r="A159" s="12"/>
      <c r="B159" s="60" t="str">
        <f>DATA!A149</f>
        <v>Chroma</v>
      </c>
      <c r="C159" s="12"/>
      <c r="D159" s="71"/>
      <c r="E159" s="13"/>
      <c r="F159" s="13"/>
      <c r="G159" s="13"/>
      <c r="H159" s="14"/>
    </row>
    <row r="160" spans="1:8" ht="21" hidden="1" customHeight="1">
      <c r="A160" s="12"/>
      <c r="B160" s="60" t="str">
        <f>DATA!A150</f>
        <v xml:space="preserve">Cine Saddle Bag </v>
      </c>
      <c r="C160" s="12"/>
      <c r="D160" s="71"/>
      <c r="E160" s="13"/>
      <c r="F160" s="13"/>
      <c r="G160" s="13"/>
      <c r="H160" s="14"/>
    </row>
    <row r="161" spans="1:8" ht="21" hidden="1" customHeight="1">
      <c r="A161" s="12"/>
      <c r="B161" s="60" t="str">
        <f>DATA!A151</f>
        <v>Clearcom freespeak upto 8 units with base wireless</v>
      </c>
      <c r="C161" s="12"/>
      <c r="D161" s="71"/>
      <c r="E161" s="13"/>
      <c r="F161" s="13"/>
      <c r="G161" s="13"/>
      <c r="H161" s="14"/>
    </row>
    <row r="162" spans="1:8" ht="21" hidden="1" customHeight="1">
      <c r="A162" s="12"/>
      <c r="B162" s="60" t="str">
        <f>DATA!A152</f>
        <v>Colorist</v>
      </c>
      <c r="C162" s="12"/>
      <c r="D162" s="71"/>
      <c r="E162" s="13"/>
      <c r="F162" s="13"/>
      <c r="G162" s="13"/>
      <c r="H162" s="14"/>
    </row>
    <row r="163" spans="1:8" ht="21" hidden="1" customHeight="1">
      <c r="A163" s="12"/>
      <c r="B163" s="60" t="str">
        <f>DATA!A153</f>
        <v>Combo Stand Big</v>
      </c>
      <c r="C163" s="12"/>
      <c r="D163" s="71"/>
      <c r="E163" s="13"/>
      <c r="F163" s="13"/>
      <c r="G163" s="13"/>
      <c r="H163" s="14"/>
    </row>
    <row r="164" spans="1:8" ht="21" hidden="1" customHeight="1">
      <c r="A164" s="12"/>
      <c r="B164" s="60" t="str">
        <f>DATA!A154</f>
        <v>Combo Stand Small</v>
      </c>
      <c r="C164" s="12"/>
      <c r="D164" s="71"/>
      <c r="E164" s="13"/>
      <c r="F164" s="13"/>
      <c r="G164" s="13"/>
      <c r="H164" s="14"/>
    </row>
    <row r="165" spans="1:8" ht="21" hidden="1" customHeight="1">
      <c r="A165" s="12"/>
      <c r="B165" s="60" t="str">
        <f>DATA!A155</f>
        <v>Cooke 100mm T2.3 Anamorphic/i Prime Lens (PL Mount)</v>
      </c>
      <c r="C165" s="12"/>
      <c r="D165" s="71"/>
      <c r="E165" s="13"/>
      <c r="F165" s="13"/>
      <c r="G165" s="13"/>
      <c r="H165" s="14"/>
    </row>
    <row r="166" spans="1:8" ht="21" hidden="1" customHeight="1">
      <c r="A166" s="12"/>
      <c r="B166" s="60" t="str">
        <f>DATA!A156</f>
        <v>Cooke 135mm T2.3 Anamorphic/i SF Prime Lens (PL Mount)</v>
      </c>
      <c r="C166" s="12"/>
      <c r="D166" s="71"/>
      <c r="E166" s="13"/>
      <c r="F166" s="13"/>
      <c r="G166" s="13"/>
      <c r="H166" s="14"/>
    </row>
    <row r="167" spans="1:8" ht="21" hidden="1" customHeight="1">
      <c r="A167" s="12"/>
      <c r="B167" s="60" t="str">
        <f>DATA!A157</f>
        <v>Cooke 180mm Anamorphic/i 1.8x Full Frame SF Prime Lens (PL)</v>
      </c>
      <c r="C167" s="12"/>
      <c r="D167" s="71"/>
      <c r="E167" s="13"/>
      <c r="F167" s="13"/>
      <c r="G167" s="13"/>
      <c r="H167" s="14"/>
    </row>
    <row r="168" spans="1:8" ht="21" hidden="1" customHeight="1">
      <c r="A168" s="12"/>
      <c r="B168" s="60" t="str">
        <f>DATA!A158</f>
        <v>Cooke 25mm T2.3 Anamorphic/i Prime Lens (PL Mount)</v>
      </c>
      <c r="C168" s="12"/>
      <c r="D168" s="71"/>
      <c r="E168" s="13"/>
      <c r="F168" s="13"/>
      <c r="G168" s="13"/>
      <c r="H168" s="14"/>
    </row>
    <row r="169" spans="1:8" ht="21" hidden="1" customHeight="1">
      <c r="A169" s="12"/>
      <c r="B169" s="60" t="str">
        <f>DATA!A159</f>
        <v>Cooke 25mm T2.3 Anamorphic/i SF Prime Lens (PL Mount)</v>
      </c>
      <c r="C169" s="12"/>
      <c r="D169" s="71"/>
      <c r="E169" s="13"/>
      <c r="F169" s="13"/>
      <c r="G169" s="13"/>
      <c r="H169" s="14"/>
    </row>
    <row r="170" spans="1:8" ht="21" hidden="1" customHeight="1">
      <c r="A170" s="12"/>
      <c r="B170" s="60" t="str">
        <f>DATA!A160</f>
        <v>Cooke 32mm T2.3 Anamorphic/i Prime Lens (PL Mount)</v>
      </c>
      <c r="C170" s="12"/>
      <c r="D170" s="71"/>
      <c r="E170" s="13"/>
      <c r="F170" s="13"/>
      <c r="G170" s="13"/>
      <c r="H170" s="14"/>
    </row>
    <row r="171" spans="1:8" ht="21" hidden="1" customHeight="1">
      <c r="A171" s="12"/>
      <c r="B171" s="60" t="str">
        <f>DATA!A161</f>
        <v>Cooke 40mm T2.3 Anamorphic/i Prime Lens (PL Mount)</v>
      </c>
      <c r="C171" s="12"/>
      <c r="D171" s="71"/>
      <c r="E171" s="13"/>
      <c r="F171" s="13"/>
      <c r="G171" s="13"/>
      <c r="H171" s="14"/>
    </row>
    <row r="172" spans="1:8" ht="21" hidden="1" customHeight="1">
      <c r="A172" s="12"/>
      <c r="B172" s="60" t="str">
        <f>DATA!A162</f>
        <v>Cooke 50mm T2.3 Anamorphic/i SF Prime Lens (PL Mount)</v>
      </c>
      <c r="C172" s="12"/>
      <c r="D172" s="71"/>
      <c r="E172" s="13"/>
      <c r="F172" s="13"/>
      <c r="G172" s="13"/>
      <c r="H172" s="14"/>
    </row>
    <row r="173" spans="1:8" ht="21" hidden="1" customHeight="1">
      <c r="A173" s="12"/>
      <c r="B173" s="60" t="str">
        <f>DATA!A163</f>
        <v>Cooke 65mm T2.6 Macro 1:4.1 Anamorphic/i SF Prime Lens (PL Mount)</v>
      </c>
      <c r="C173" s="12"/>
      <c r="D173" s="71"/>
      <c r="E173" s="13"/>
      <c r="F173" s="13"/>
      <c r="G173" s="13"/>
      <c r="H173" s="14"/>
    </row>
    <row r="174" spans="1:8" ht="21" hidden="1" customHeight="1">
      <c r="A174" s="12"/>
      <c r="B174" s="60" t="str">
        <f>DATA!A164</f>
        <v>Cooke 75mm T2.3 Anamorphic/i Prime Lens (PL Mount)</v>
      </c>
      <c r="C174" s="12"/>
      <c r="D174" s="71"/>
      <c r="E174" s="13"/>
      <c r="F174" s="13"/>
      <c r="G174" s="13"/>
      <c r="H174" s="14"/>
    </row>
    <row r="175" spans="1:8" ht="21" hidden="1" customHeight="1">
      <c r="A175" s="12"/>
      <c r="B175" s="60" t="str">
        <f>DATA!A165</f>
        <v xml:space="preserve">Cooke S4 Mini Lens Kit – 18,25,32,50,75,100mm </v>
      </c>
      <c r="C175" s="12"/>
      <c r="D175" s="71"/>
      <c r="E175" s="13"/>
      <c r="F175" s="13"/>
      <c r="G175" s="13"/>
      <c r="H175" s="14"/>
    </row>
    <row r="176" spans="1:8" ht="21" hidden="1" customHeight="1">
      <c r="A176" s="12"/>
      <c r="B176" s="60" t="str">
        <f>DATA!A166</f>
        <v>Cooke S7/i Full Frame Kit – (16,18,21, 25, 27, 32, 40, 50, 65, 75, 100 and 135, 180mm)</v>
      </c>
      <c r="C176" s="12"/>
      <c r="D176" s="71"/>
      <c r="E176" s="13"/>
      <c r="F176" s="13"/>
      <c r="G176" s="13"/>
      <c r="H176" s="14"/>
    </row>
    <row r="177" spans="1:8" ht="21" hidden="1" customHeight="1">
      <c r="A177" s="12"/>
      <c r="B177" s="60" t="str">
        <f>DATA!A167</f>
        <v>Cooke S8/i Full Frame Kit – (18, 25, 27, 32, 35, 40, 50, 65, 75, 100 and 135mm)</v>
      </c>
      <c r="C177" s="12"/>
      <c r="D177" s="71"/>
      <c r="E177" s="13"/>
      <c r="F177" s="13"/>
      <c r="G177" s="13"/>
      <c r="H177" s="14"/>
    </row>
    <row r="178" spans="1:8" ht="21" hidden="1" customHeight="1">
      <c r="A178" s="12"/>
      <c r="B178" s="60" t="str">
        <f>DATA!A168</f>
        <v>Cooke SP3 Full-Frame 5-Lens Prime Set (25/32/50/75/100mm, Sony E)</v>
      </c>
      <c r="C178" s="12"/>
      <c r="D178" s="71"/>
      <c r="E178" s="13"/>
      <c r="F178" s="13"/>
      <c r="G178" s="13"/>
      <c r="H178" s="14"/>
    </row>
    <row r="179" spans="1:8" ht="21" hidden="1" customHeight="1">
      <c r="A179" s="12"/>
      <c r="B179" s="60" t="str">
        <f>DATA!A169</f>
        <v>Copywriter Ar</v>
      </c>
      <c r="C179" s="12"/>
      <c r="D179" s="71"/>
      <c r="E179" s="13"/>
      <c r="F179" s="13"/>
      <c r="G179" s="13"/>
      <c r="H179" s="14"/>
    </row>
    <row r="180" spans="1:8" ht="21" hidden="1" customHeight="1">
      <c r="A180" s="12"/>
      <c r="B180" s="60" t="str">
        <f>DATA!A170</f>
        <v>Copywriter Eng</v>
      </c>
      <c r="C180" s="12"/>
      <c r="D180" s="71"/>
      <c r="E180" s="13"/>
      <c r="F180" s="13"/>
      <c r="G180" s="13"/>
      <c r="H180" s="14"/>
    </row>
    <row r="181" spans="1:8" ht="21" hidden="1" customHeight="1">
      <c r="A181" s="12"/>
      <c r="B181" s="60" t="str">
        <f>DATA!A171</f>
        <v>Corporate Photographer</v>
      </c>
      <c r="C181" s="12"/>
      <c r="D181" s="71"/>
      <c r="E181" s="13"/>
      <c r="F181" s="13"/>
      <c r="G181" s="13"/>
      <c r="H181" s="14"/>
    </row>
    <row r="182" spans="1:8" ht="21" hidden="1" customHeight="1">
      <c r="A182" s="12"/>
      <c r="B182" s="60" t="str">
        <f>DATA!A172</f>
        <v xml:space="preserve">Corporate Photographer With Edited Images </v>
      </c>
      <c r="C182" s="12"/>
      <c r="D182" s="71"/>
      <c r="E182" s="13"/>
      <c r="F182" s="13"/>
      <c r="G182" s="13"/>
      <c r="H182" s="14"/>
    </row>
    <row r="183" spans="1:8" ht="21" hidden="1" customHeight="1">
      <c r="A183" s="12"/>
      <c r="B183" s="60" t="str">
        <f>DATA!A173</f>
        <v>CREAM SORCS 4 LED</v>
      </c>
      <c r="C183" s="12"/>
      <c r="D183" s="71"/>
      <c r="E183" s="13"/>
      <c r="F183" s="13"/>
      <c r="G183" s="13"/>
      <c r="H183" s="14"/>
    </row>
    <row r="184" spans="1:8" ht="21" hidden="1" customHeight="1">
      <c r="A184" s="12"/>
      <c r="B184" s="60" t="str">
        <f>DATA!A174</f>
        <v>CREAM SORCS 8 LED</v>
      </c>
      <c r="C184" s="12"/>
      <c r="D184" s="71"/>
      <c r="E184" s="13"/>
      <c r="F184" s="13"/>
      <c r="G184" s="13"/>
      <c r="H184" s="14"/>
    </row>
    <row r="185" spans="1:8" ht="21" hidden="1" customHeight="1">
      <c r="A185" s="12"/>
      <c r="B185" s="60" t="str">
        <f>DATA!A175</f>
        <v>CREAM SORCS MICRO LED</v>
      </c>
      <c r="C185" s="12"/>
      <c r="D185" s="71"/>
      <c r="E185" s="13"/>
      <c r="F185" s="13"/>
      <c r="G185" s="13"/>
      <c r="H185" s="14"/>
    </row>
    <row r="186" spans="1:8" ht="21" hidden="1" customHeight="1">
      <c r="A186" s="12"/>
      <c r="B186" s="60" t="str">
        <f>DATA!A176</f>
        <v>Creative Copywriter Ar</v>
      </c>
      <c r="C186" s="12"/>
      <c r="D186" s="71"/>
      <c r="E186" s="13"/>
      <c r="F186" s="13"/>
      <c r="G186" s="13"/>
      <c r="H186" s="14"/>
    </row>
    <row r="187" spans="1:8" ht="21" hidden="1" customHeight="1">
      <c r="A187" s="12"/>
      <c r="B187" s="60" t="str">
        <f>DATA!A177</f>
        <v>Creative Copywriter En</v>
      </c>
      <c r="C187" s="12"/>
      <c r="D187" s="71"/>
      <c r="E187" s="13"/>
      <c r="F187" s="13"/>
      <c r="G187" s="13"/>
      <c r="H187" s="14"/>
    </row>
    <row r="188" spans="1:8" ht="21" hidden="1" customHeight="1">
      <c r="A188" s="12"/>
      <c r="B188" s="60" t="str">
        <f>DATA!A178</f>
        <v>Creative Director</v>
      </c>
      <c r="C188" s="12"/>
      <c r="D188" s="71"/>
      <c r="E188" s="13"/>
      <c r="F188" s="13"/>
      <c r="G188" s="13"/>
      <c r="H188" s="14"/>
    </row>
    <row r="189" spans="1:8" ht="21" hidden="1" customHeight="1">
      <c r="A189" s="12"/>
      <c r="B189" s="60" t="str">
        <f>DATA!A179</f>
        <v>Creative Director (ART)</v>
      </c>
      <c r="C189" s="12"/>
      <c r="D189" s="71"/>
      <c r="E189" s="13"/>
      <c r="F189" s="13"/>
      <c r="G189" s="13"/>
      <c r="H189" s="14"/>
    </row>
    <row r="190" spans="1:8" ht="21" hidden="1" customHeight="1">
      <c r="A190" s="12"/>
      <c r="B190" s="60" t="str">
        <f>DATA!A180</f>
        <v>Creative Director (Copy)</v>
      </c>
      <c r="C190" s="12"/>
      <c r="D190" s="71"/>
      <c r="E190" s="13"/>
      <c r="F190" s="13"/>
      <c r="G190" s="13"/>
      <c r="H190" s="14"/>
    </row>
    <row r="191" spans="1:8" ht="21" hidden="1" customHeight="1">
      <c r="A191" s="12"/>
      <c r="B191" s="60" t="str">
        <f>DATA!A181</f>
        <v>Cstand</v>
      </c>
      <c r="C191" s="12"/>
      <c r="D191" s="71"/>
      <c r="E191" s="13"/>
      <c r="F191" s="13"/>
      <c r="G191" s="13"/>
      <c r="H191" s="14"/>
    </row>
    <row r="192" spans="1:8" ht="21" hidden="1" customHeight="1">
      <c r="A192" s="12"/>
      <c r="B192" s="60" t="str">
        <f>DATA!A182</f>
        <v>Dana Dolly Portable Dolly System with eMotimo 1-2-3 m</v>
      </c>
      <c r="C192" s="12"/>
      <c r="D192" s="71"/>
      <c r="E192" s="13"/>
      <c r="F192" s="13"/>
      <c r="G192" s="13"/>
      <c r="H192" s="14"/>
    </row>
    <row r="193" spans="1:8" ht="21" hidden="1" customHeight="1">
      <c r="A193" s="12"/>
      <c r="B193" s="60" t="str">
        <f>DATA!A183</f>
        <v>DeDo 100 Kit</v>
      </c>
      <c r="C193" s="12"/>
      <c r="D193" s="71"/>
      <c r="E193" s="13"/>
      <c r="F193" s="13"/>
      <c r="G193" s="13"/>
      <c r="H193" s="14"/>
    </row>
    <row r="194" spans="1:8" ht="21" hidden="1" customHeight="1">
      <c r="A194" s="12"/>
      <c r="B194" s="60" t="str">
        <f>DATA!A184</f>
        <v xml:space="preserve">Dedo 150 Kit </v>
      </c>
      <c r="C194" s="12"/>
      <c r="D194" s="71"/>
      <c r="E194" s="13"/>
      <c r="F194" s="13"/>
      <c r="G194" s="13"/>
      <c r="H194" s="14"/>
    </row>
    <row r="195" spans="1:8" ht="21" hidden="1" customHeight="1">
      <c r="A195" s="12"/>
      <c r="B195" s="60" t="str">
        <f>DATA!A185</f>
        <v>DeDo LED</v>
      </c>
      <c r="C195" s="12"/>
      <c r="D195" s="71"/>
      <c r="E195" s="13"/>
      <c r="F195" s="13"/>
      <c r="G195" s="13"/>
      <c r="H195" s="14"/>
    </row>
    <row r="196" spans="1:8" ht="21" hidden="1" customHeight="1">
      <c r="A196" s="12"/>
      <c r="B196" s="60" t="str">
        <f>DATA!A186</f>
        <v>DeDo LED</v>
      </c>
      <c r="C196" s="12"/>
      <c r="D196" s="71"/>
      <c r="E196" s="13"/>
      <c r="F196" s="13"/>
      <c r="G196" s="13"/>
      <c r="H196" s="14"/>
    </row>
    <row r="197" spans="1:8" ht="21" hidden="1" customHeight="1">
      <c r="A197" s="12"/>
      <c r="B197" s="60" t="str">
        <f>DATA!A187</f>
        <v>DeDo LED By Color</v>
      </c>
      <c r="C197" s="12"/>
      <c r="D197" s="71"/>
      <c r="E197" s="13"/>
      <c r="F197" s="13"/>
      <c r="G197" s="13"/>
      <c r="H197" s="14"/>
    </row>
    <row r="198" spans="1:8" ht="21" hidden="1" customHeight="1">
      <c r="A198" s="12"/>
      <c r="B198" s="60" t="str">
        <f>DATA!A188</f>
        <v>DeDo LED By colour</v>
      </c>
      <c r="C198" s="12"/>
      <c r="D198" s="71"/>
      <c r="E198" s="13"/>
      <c r="F198" s="13"/>
      <c r="G198" s="13"/>
      <c r="H198" s="14"/>
    </row>
    <row r="199" spans="1:8" ht="21" hidden="1" customHeight="1">
      <c r="A199" s="12"/>
      <c r="B199" s="60" t="str">
        <f>DATA!A189</f>
        <v>DEVA 200</v>
      </c>
      <c r="C199" s="12"/>
      <c r="D199" s="71"/>
      <c r="E199" s="13"/>
      <c r="F199" s="13"/>
      <c r="G199" s="13"/>
      <c r="H199" s="14"/>
    </row>
    <row r="200" spans="1:8" ht="21" hidden="1" customHeight="1">
      <c r="A200" s="12"/>
      <c r="B200" s="60" t="str">
        <f>DATA!A190</f>
        <v>DEVA 400</v>
      </c>
      <c r="C200" s="12"/>
      <c r="D200" s="71"/>
      <c r="E200" s="13"/>
      <c r="F200" s="13"/>
      <c r="G200" s="13"/>
      <c r="H200" s="14"/>
    </row>
    <row r="201" spans="1:8" ht="21" hidden="1" customHeight="1">
      <c r="A201" s="12"/>
      <c r="B201" s="60" t="str">
        <f>DATA!A191</f>
        <v xml:space="preserve">DEVA 60 </v>
      </c>
      <c r="C201" s="12"/>
      <c r="D201" s="71"/>
      <c r="E201" s="13"/>
      <c r="F201" s="13"/>
      <c r="G201" s="13"/>
      <c r="H201" s="14"/>
    </row>
    <row r="202" spans="1:8" ht="21" hidden="1" customHeight="1">
      <c r="A202" s="12"/>
      <c r="B202" s="60" t="str">
        <f>DATA!A192</f>
        <v>Dezezty 2.5k</v>
      </c>
      <c r="C202" s="12"/>
      <c r="D202" s="71"/>
      <c r="E202" s="13"/>
      <c r="F202" s="13"/>
      <c r="G202" s="13"/>
      <c r="H202" s="14"/>
    </row>
    <row r="203" spans="1:8" ht="21" hidden="1" customHeight="1">
      <c r="A203" s="12"/>
      <c r="B203" s="60" t="str">
        <f>DATA!A193</f>
        <v>Dialogue Editor</v>
      </c>
      <c r="C203" s="12"/>
      <c r="D203" s="71"/>
      <c r="E203" s="13"/>
      <c r="F203" s="13"/>
      <c r="G203" s="13"/>
      <c r="H203" s="14"/>
    </row>
    <row r="204" spans="1:8" ht="21" hidden="1" customHeight="1">
      <c r="A204" s="12"/>
      <c r="B204" s="60" t="str">
        <f>DATA!A194</f>
        <v>Digital Imaging Technicians - DIT</v>
      </c>
      <c r="C204" s="12"/>
      <c r="D204" s="71"/>
      <c r="E204" s="13"/>
      <c r="F204" s="13"/>
      <c r="G204" s="13"/>
      <c r="H204" s="14"/>
    </row>
    <row r="205" spans="1:8" ht="21" hidden="1" customHeight="1">
      <c r="A205" s="12"/>
      <c r="B205" s="60" t="str">
        <f>DATA!A195</f>
        <v>Digital Media Archivist</v>
      </c>
      <c r="C205" s="12"/>
      <c r="D205" s="71"/>
      <c r="E205" s="13"/>
      <c r="F205" s="13"/>
      <c r="G205" s="13"/>
      <c r="H205" s="14"/>
    </row>
    <row r="206" spans="1:8" ht="21" hidden="1" customHeight="1">
      <c r="A206" s="12"/>
      <c r="B206" s="60" t="str">
        <f>DATA!A196</f>
        <v>Dimer 30K</v>
      </c>
      <c r="C206" s="12"/>
      <c r="D206" s="71"/>
      <c r="E206" s="13"/>
      <c r="F206" s="13"/>
      <c r="G206" s="13"/>
      <c r="H206" s="14"/>
    </row>
    <row r="207" spans="1:8" ht="21" hidden="1" customHeight="1">
      <c r="A207" s="12"/>
      <c r="B207" s="60" t="str">
        <f>DATA!A197</f>
        <v>Dimer 5K</v>
      </c>
      <c r="C207" s="12"/>
      <c r="D207" s="71"/>
      <c r="E207" s="13"/>
      <c r="F207" s="13"/>
      <c r="G207" s="13"/>
      <c r="H207" s="14"/>
    </row>
    <row r="208" spans="1:8" ht="21" hidden="1" customHeight="1">
      <c r="A208" s="12"/>
      <c r="B208" s="60" t="str">
        <f>DATA!A198</f>
        <v>Dimer DMX12</v>
      </c>
      <c r="C208" s="12"/>
      <c r="D208" s="71"/>
      <c r="E208" s="13"/>
      <c r="F208" s="13"/>
      <c r="G208" s="13"/>
      <c r="H208" s="14"/>
    </row>
    <row r="209" spans="1:8" ht="21" hidden="1" customHeight="1">
      <c r="A209" s="12"/>
      <c r="B209" s="60" t="str">
        <f>DATA!A199</f>
        <v>Director</v>
      </c>
      <c r="C209" s="12"/>
      <c r="D209" s="71"/>
      <c r="E209" s="13"/>
      <c r="F209" s="13"/>
      <c r="G209" s="13"/>
      <c r="H209" s="14"/>
    </row>
    <row r="210" spans="1:8" ht="21" hidden="1" customHeight="1">
      <c r="A210" s="12"/>
      <c r="B210" s="60" t="str">
        <f>DATA!A200</f>
        <v>Director of Photography</v>
      </c>
      <c r="C210" s="12"/>
      <c r="D210" s="71"/>
      <c r="E210" s="13"/>
      <c r="F210" s="13"/>
      <c r="G210" s="13"/>
      <c r="H210" s="14"/>
    </row>
    <row r="211" spans="1:8" ht="21" hidden="1" customHeight="1">
      <c r="A211" s="12"/>
      <c r="B211" s="60" t="str">
        <f>DATA!A201</f>
        <v>DIT Equipment</v>
      </c>
      <c r="C211" s="12"/>
      <c r="D211" s="71"/>
      <c r="E211" s="13"/>
      <c r="F211" s="13"/>
      <c r="G211" s="13"/>
      <c r="H211" s="14"/>
    </row>
    <row r="212" spans="1:8" ht="21" hidden="1" customHeight="1">
      <c r="A212" s="12"/>
      <c r="B212" s="60" t="str">
        <f>DATA!A202</f>
        <v>DJI Air 3 Fly More Combo (DJI RC 2)</v>
      </c>
      <c r="C212" s="12"/>
      <c r="D212" s="71"/>
      <c r="E212" s="13"/>
      <c r="F212" s="13"/>
      <c r="G212" s="13"/>
      <c r="H212" s="14"/>
    </row>
    <row r="213" spans="1:8" ht="21" hidden="1" customHeight="1">
      <c r="A213" s="12"/>
      <c r="B213" s="60" t="str">
        <f>DATA!A203</f>
        <v>DJI AVATA PRO-VIEW COMBO (DJI GOGGLES 2)</v>
      </c>
      <c r="C213" s="12"/>
      <c r="D213" s="71"/>
      <c r="E213" s="13"/>
      <c r="F213" s="13"/>
      <c r="G213" s="13"/>
      <c r="H213" s="14"/>
    </row>
    <row r="214" spans="1:8" ht="21" hidden="1" customHeight="1">
      <c r="A214" s="12"/>
      <c r="B214" s="60" t="str">
        <f>DATA!A204</f>
        <v>DJI Inspire 3 Combo with X9</v>
      </c>
      <c r="C214" s="12"/>
      <c r="D214" s="71"/>
      <c r="E214" s="13"/>
      <c r="F214" s="13"/>
      <c r="G214" s="13"/>
      <c r="H214" s="14"/>
    </row>
    <row r="215" spans="1:8" ht="21" hidden="1" customHeight="1">
      <c r="A215" s="12"/>
      <c r="B215" s="60" t="str">
        <f>DATA!A205</f>
        <v>DJI Mavic 3 Pro Cine Premium Combo</v>
      </c>
      <c r="C215" s="12"/>
      <c r="D215" s="71"/>
      <c r="E215" s="13"/>
      <c r="F215" s="13"/>
      <c r="G215" s="13"/>
      <c r="H215" s="14"/>
    </row>
    <row r="216" spans="1:8" ht="21" hidden="1" customHeight="1">
      <c r="A216" s="12"/>
      <c r="B216" s="60" t="str">
        <f>DATA!A206</f>
        <v xml:space="preserve">DJI Osmo Action 4 Adventure </v>
      </c>
      <c r="C216" s="12"/>
      <c r="D216" s="71"/>
      <c r="E216" s="13"/>
      <c r="F216" s="13"/>
      <c r="G216" s="13"/>
      <c r="H216" s="14"/>
    </row>
    <row r="217" spans="1:8" ht="21" hidden="1" customHeight="1">
      <c r="A217" s="12"/>
      <c r="B217" s="60" t="str">
        <f>DATA!A207</f>
        <v xml:space="preserve">DJI Ronin 2 </v>
      </c>
      <c r="C217" s="12"/>
      <c r="D217" s="71"/>
      <c r="E217" s="13"/>
      <c r="F217" s="13"/>
      <c r="G217" s="13"/>
      <c r="H217" s="14"/>
    </row>
    <row r="218" spans="1:8" ht="21" hidden="1" customHeight="1">
      <c r="A218" s="12"/>
      <c r="B218" s="60" t="str">
        <f>DATA!A208</f>
        <v xml:space="preserve">DJI Ronin S2 </v>
      </c>
      <c r="C218" s="12"/>
      <c r="D218" s="71"/>
      <c r="E218" s="13"/>
      <c r="F218" s="13"/>
      <c r="G218" s="13"/>
      <c r="H218" s="14"/>
    </row>
    <row r="219" spans="1:8" ht="21" hidden="1" customHeight="1">
      <c r="A219" s="12"/>
      <c r="B219" s="60" t="str">
        <f>DATA!A209</f>
        <v xml:space="preserve">DJI Ronin S3 </v>
      </c>
      <c r="C219" s="12"/>
      <c r="D219" s="71"/>
      <c r="E219" s="13"/>
      <c r="F219" s="13"/>
      <c r="G219" s="13"/>
      <c r="H219" s="14"/>
    </row>
    <row r="220" spans="1:8" ht="21" hidden="1" customHeight="1">
      <c r="A220" s="12"/>
      <c r="B220" s="60" t="str">
        <f>DATA!A210</f>
        <v>DJI RS 4 Pro Combo</v>
      </c>
      <c r="C220" s="12"/>
      <c r="D220" s="71"/>
      <c r="E220" s="13"/>
      <c r="F220" s="13"/>
      <c r="G220" s="13"/>
      <c r="H220" s="14"/>
    </row>
    <row r="221" spans="1:8" ht="21" hidden="1" customHeight="1">
      <c r="A221" s="12"/>
      <c r="B221" s="60" t="str">
        <f>DATA!A211</f>
        <v xml:space="preserve">DMG Lumiere Mini Mix </v>
      </c>
      <c r="C221" s="12"/>
      <c r="D221" s="71"/>
      <c r="E221" s="13"/>
      <c r="F221" s="13"/>
      <c r="G221" s="13"/>
      <c r="H221" s="14"/>
    </row>
    <row r="222" spans="1:8" ht="21" hidden="1" customHeight="1">
      <c r="A222" s="12"/>
      <c r="B222" s="60" t="str">
        <f>DATA!A212</f>
        <v xml:space="preserve">DMG SL1 Switch + Chimera </v>
      </c>
      <c r="C222" s="12"/>
      <c r="D222" s="71"/>
      <c r="E222" s="13"/>
      <c r="F222" s="13"/>
      <c r="G222" s="13"/>
      <c r="H222" s="14"/>
    </row>
    <row r="223" spans="1:8" ht="21" hidden="1" customHeight="1">
      <c r="A223" s="12"/>
      <c r="B223" s="60" t="str">
        <f>DATA!A213</f>
        <v>Dolly Assistant</v>
      </c>
      <c r="C223" s="12"/>
      <c r="D223" s="71"/>
      <c r="E223" s="13"/>
      <c r="F223" s="13"/>
      <c r="G223" s="13"/>
      <c r="H223" s="14"/>
    </row>
    <row r="224" spans="1:8" ht="21" hidden="1" customHeight="1">
      <c r="A224" s="12"/>
      <c r="B224" s="60" t="str">
        <f>DATA!A214</f>
        <v>Dolly Grip</v>
      </c>
      <c r="C224" s="12"/>
      <c r="D224" s="71"/>
      <c r="E224" s="13"/>
      <c r="F224" s="13"/>
      <c r="G224" s="13"/>
      <c r="H224" s="14"/>
    </row>
    <row r="225" spans="1:8" ht="21" hidden="1" customHeight="1">
      <c r="A225" s="12"/>
      <c r="B225" s="60" t="str">
        <f>DATA!A215</f>
        <v>Dolly Tripod Small</v>
      </c>
      <c r="C225" s="12"/>
      <c r="D225" s="71"/>
      <c r="E225" s="13"/>
      <c r="F225" s="13"/>
      <c r="G225" s="13"/>
      <c r="H225" s="14"/>
    </row>
    <row r="226" spans="1:8" ht="21" hidden="1" customHeight="1">
      <c r="A226" s="12"/>
      <c r="B226" s="60" t="str">
        <f>DATA!A216</f>
        <v>DOP Cameraman</v>
      </c>
      <c r="C226" s="12"/>
      <c r="D226" s="71"/>
      <c r="E226" s="13"/>
      <c r="F226" s="13"/>
      <c r="G226" s="13"/>
      <c r="H226" s="14"/>
    </row>
    <row r="227" spans="1:8" ht="21" hidden="1" customHeight="1">
      <c r="A227" s="12"/>
      <c r="B227" s="60" t="str">
        <f>DATA!A217</f>
        <v>Double mix max LED</v>
      </c>
      <c r="C227" s="12"/>
      <c r="D227" s="71"/>
      <c r="E227" s="13"/>
      <c r="F227" s="13"/>
      <c r="G227" s="13"/>
      <c r="H227" s="14"/>
    </row>
    <row r="228" spans="1:8" ht="21" hidden="1" customHeight="1">
      <c r="A228" s="12"/>
      <c r="B228" s="60" t="str">
        <f>DATA!A218</f>
        <v>Drone Operator</v>
      </c>
      <c r="C228" s="12"/>
      <c r="D228" s="71"/>
      <c r="E228" s="13"/>
      <c r="F228" s="13"/>
      <c r="G228" s="13"/>
      <c r="H228" s="14"/>
    </row>
    <row r="229" spans="1:8" ht="21" hidden="1" customHeight="1">
      <c r="A229" s="12"/>
      <c r="B229" s="60" t="str">
        <f>DATA!A219</f>
        <v>DYNO 1200</v>
      </c>
      <c r="C229" s="12"/>
      <c r="D229" s="71"/>
      <c r="E229" s="13"/>
      <c r="F229" s="13"/>
      <c r="G229" s="13"/>
      <c r="H229" s="14"/>
    </row>
    <row r="230" spans="1:8" ht="21" hidden="1" customHeight="1">
      <c r="A230" s="12"/>
      <c r="B230" s="60" t="str">
        <f>DATA!A220</f>
        <v>DYNO 650</v>
      </c>
      <c r="C230" s="12"/>
      <c r="D230" s="71"/>
      <c r="E230" s="13"/>
      <c r="F230" s="13"/>
      <c r="G230" s="13"/>
      <c r="H230" s="14"/>
    </row>
    <row r="231" spans="1:8" ht="21" hidden="1" customHeight="1">
      <c r="A231" s="12"/>
      <c r="B231" s="60" t="str">
        <f>DATA!A221</f>
        <v xml:space="preserve">Easy Rig Vario 2.5 </v>
      </c>
      <c r="C231" s="12"/>
      <c r="D231" s="71"/>
      <c r="E231" s="13"/>
      <c r="F231" s="13"/>
      <c r="G231" s="13"/>
      <c r="H231" s="14"/>
    </row>
    <row r="232" spans="1:8" ht="21" hidden="1" customHeight="1">
      <c r="A232" s="12"/>
      <c r="B232" s="60" t="str">
        <f>DATA!A222</f>
        <v>Easyrig Vario 5 + Gimbal Vest + Support Arm</v>
      </c>
      <c r="C232" s="12"/>
      <c r="D232" s="71"/>
      <c r="E232" s="13"/>
      <c r="F232" s="13"/>
      <c r="G232" s="13"/>
      <c r="H232" s="14"/>
    </row>
    <row r="233" spans="1:8" ht="21" hidden="1" customHeight="1">
      <c r="A233" s="12"/>
      <c r="B233" s="60" t="str">
        <f>DATA!A223</f>
        <v>Emirati Adults 18 years and older</v>
      </c>
      <c r="C233" s="12"/>
      <c r="D233" s="71"/>
      <c r="E233" s="13"/>
      <c r="F233" s="13"/>
      <c r="G233" s="13"/>
      <c r="H233" s="14"/>
    </row>
    <row r="234" spans="1:8" ht="21" hidden="1" customHeight="1">
      <c r="A234" s="12"/>
      <c r="B234" s="60" t="str">
        <f>DATA!A224</f>
        <v>Emirati Adults 18 years and older</v>
      </c>
      <c r="C234" s="12"/>
      <c r="D234" s="71"/>
      <c r="E234" s="13"/>
      <c r="F234" s="13"/>
      <c r="G234" s="13"/>
      <c r="H234" s="14"/>
    </row>
    <row r="235" spans="1:8" ht="21" hidden="1" customHeight="1">
      <c r="A235" s="12"/>
      <c r="B235" s="60" t="str">
        <f>DATA!A225</f>
        <v>Emirati Children - 1 year through 12 years</v>
      </c>
      <c r="C235" s="12"/>
      <c r="D235" s="71"/>
      <c r="E235" s="13"/>
      <c r="F235" s="13"/>
      <c r="G235" s="13"/>
      <c r="H235" s="14"/>
    </row>
    <row r="236" spans="1:8" ht="21" hidden="1" customHeight="1">
      <c r="A236" s="12"/>
      <c r="B236" s="60" t="str">
        <f>DATA!A226</f>
        <v>Emirati Children - 1 year through 12 years</v>
      </c>
      <c r="C236" s="12"/>
      <c r="D236" s="71"/>
      <c r="E236" s="13"/>
      <c r="F236" s="13"/>
      <c r="G236" s="13"/>
      <c r="H236" s="14"/>
    </row>
    <row r="237" spans="1:8" ht="21" hidden="1" customHeight="1">
      <c r="A237" s="12"/>
      <c r="B237" s="60" t="str">
        <f>DATA!A227</f>
        <v>Emirati Older Adults - 65 and older</v>
      </c>
      <c r="C237" s="12"/>
      <c r="D237" s="71"/>
      <c r="E237" s="13"/>
      <c r="F237" s="13"/>
      <c r="G237" s="13"/>
      <c r="H237" s="14"/>
    </row>
    <row r="238" spans="1:8" ht="21" hidden="1" customHeight="1">
      <c r="A238" s="12"/>
      <c r="B238" s="60" t="str">
        <f>DATA!A228</f>
        <v>Emirati Sniors Adults - 65 and older</v>
      </c>
      <c r="C238" s="12"/>
      <c r="D238" s="71"/>
      <c r="E238" s="13"/>
      <c r="F238" s="13"/>
      <c r="G238" s="13"/>
      <c r="H238" s="14"/>
    </row>
    <row r="239" spans="1:8" ht="21" hidden="1" customHeight="1">
      <c r="A239" s="12"/>
      <c r="B239" s="60" t="str">
        <f>DATA!A229</f>
        <v>Emirati Youth - 13 years through 17 years</v>
      </c>
      <c r="C239" s="12"/>
      <c r="D239" s="71"/>
      <c r="E239" s="13"/>
      <c r="F239" s="13"/>
      <c r="G239" s="13"/>
      <c r="H239" s="14"/>
    </row>
    <row r="240" spans="1:8" ht="21" hidden="1" customHeight="1">
      <c r="A240" s="12"/>
      <c r="B240" s="60" t="str">
        <f>DATA!A230</f>
        <v>Emirati Youth - 13 years through 17 years</v>
      </c>
      <c r="C240" s="12"/>
      <c r="D240" s="71"/>
      <c r="E240" s="13"/>
      <c r="F240" s="13"/>
      <c r="G240" s="13"/>
      <c r="H240" s="14"/>
    </row>
    <row r="241" spans="1:8" ht="21" hidden="1" customHeight="1">
      <c r="A241" s="12"/>
      <c r="B241" s="60" t="str">
        <f>DATA!A231</f>
        <v xml:space="preserve">Event Photographer </v>
      </c>
      <c r="C241" s="12"/>
      <c r="D241" s="71"/>
      <c r="E241" s="13"/>
      <c r="F241" s="13"/>
      <c r="G241" s="13"/>
      <c r="H241" s="14"/>
    </row>
    <row r="242" spans="1:8" ht="21" hidden="1" customHeight="1">
      <c r="A242" s="12"/>
      <c r="B242" s="60" t="str">
        <f>DATA!A232</f>
        <v xml:space="preserve">Event Photographer With Edited Images </v>
      </c>
      <c r="C242" s="12"/>
      <c r="D242" s="71"/>
      <c r="E242" s="13"/>
      <c r="F242" s="13"/>
      <c r="G242" s="13"/>
      <c r="H242" s="14"/>
    </row>
    <row r="243" spans="1:8" ht="21" hidden="1" customHeight="1">
      <c r="A243" s="12"/>
      <c r="B243" s="60" t="str">
        <f>DATA!A233</f>
        <v>Executive Producer</v>
      </c>
      <c r="C243" s="12"/>
      <c r="D243" s="71"/>
      <c r="E243" s="13"/>
      <c r="F243" s="13"/>
      <c r="G243" s="13"/>
      <c r="H243" s="14"/>
    </row>
    <row r="244" spans="1:8" ht="21" hidden="1" customHeight="1">
      <c r="A244" s="12"/>
      <c r="B244" s="60" t="str">
        <f>DATA!A234</f>
        <v>Expatriate Adults 18 years and older</v>
      </c>
      <c r="C244" s="12"/>
      <c r="D244" s="71"/>
      <c r="E244" s="13"/>
      <c r="F244" s="13"/>
      <c r="G244" s="13"/>
      <c r="H244" s="14"/>
    </row>
    <row r="245" spans="1:8" ht="21" hidden="1" customHeight="1">
      <c r="A245" s="12"/>
      <c r="B245" s="60" t="str">
        <f>DATA!A235</f>
        <v>Expatriate Adults 18 years and older</v>
      </c>
      <c r="C245" s="12"/>
      <c r="D245" s="71"/>
      <c r="E245" s="13"/>
      <c r="F245" s="13"/>
      <c r="G245" s="13"/>
      <c r="H245" s="14"/>
    </row>
    <row r="246" spans="1:8" ht="21" hidden="1" customHeight="1">
      <c r="A246" s="12"/>
      <c r="B246" s="60" t="str">
        <f>DATA!A236</f>
        <v>Expatriate Children - 1 year through 12 years</v>
      </c>
      <c r="C246" s="12"/>
      <c r="D246" s="71"/>
      <c r="E246" s="13"/>
      <c r="F246" s="13"/>
      <c r="G246" s="13"/>
      <c r="H246" s="14"/>
    </row>
    <row r="247" spans="1:8" ht="21" hidden="1" customHeight="1">
      <c r="A247" s="12"/>
      <c r="B247" s="60" t="str">
        <f>DATA!A237</f>
        <v>Expatriate Children - 1 year through 12 years</v>
      </c>
      <c r="C247" s="12"/>
      <c r="D247" s="71"/>
      <c r="E247" s="13"/>
      <c r="F247" s="13"/>
      <c r="G247" s="13"/>
      <c r="H247" s="14"/>
    </row>
    <row r="248" spans="1:8" ht="21" hidden="1" customHeight="1">
      <c r="A248" s="12"/>
      <c r="B248" s="60" t="str">
        <f>DATA!A238</f>
        <v>Expatriate Older Adults - 65 and older</v>
      </c>
      <c r="C248" s="12"/>
      <c r="D248" s="71"/>
      <c r="E248" s="13"/>
      <c r="F248" s="13"/>
      <c r="G248" s="13"/>
      <c r="H248" s="14"/>
    </row>
    <row r="249" spans="1:8" ht="21" hidden="1" customHeight="1">
      <c r="A249" s="12"/>
      <c r="B249" s="60" t="str">
        <f>DATA!A239</f>
        <v>Expatriate Sniors Adults - 65 and older</v>
      </c>
      <c r="C249" s="12"/>
      <c r="D249" s="71"/>
      <c r="E249" s="13"/>
      <c r="F249" s="13"/>
      <c r="G249" s="13"/>
      <c r="H249" s="14"/>
    </row>
    <row r="250" spans="1:8" ht="21" hidden="1" customHeight="1">
      <c r="A250" s="12"/>
      <c r="B250" s="60" t="str">
        <f>DATA!A240</f>
        <v>Expatriate Youth - 13 years through 17 years</v>
      </c>
      <c r="C250" s="12"/>
      <c r="D250" s="71"/>
      <c r="E250" s="13"/>
      <c r="F250" s="13"/>
      <c r="G250" s="13"/>
      <c r="H250" s="14"/>
    </row>
    <row r="251" spans="1:8" ht="21" hidden="1" customHeight="1">
      <c r="A251" s="12"/>
      <c r="B251" s="60" t="str">
        <f>DATA!A241</f>
        <v>Expatriate Youth - 13 years through 17 years</v>
      </c>
      <c r="C251" s="12"/>
      <c r="D251" s="71"/>
      <c r="E251" s="13"/>
      <c r="F251" s="13"/>
      <c r="G251" s="13"/>
      <c r="H251" s="14"/>
    </row>
    <row r="252" spans="1:8" ht="21" hidden="1" customHeight="1">
      <c r="A252" s="12"/>
      <c r="B252" s="60" t="str">
        <f>DATA!A242</f>
        <v>Extention Bar</v>
      </c>
      <c r="C252" s="12"/>
      <c r="D252" s="71"/>
      <c r="E252" s="13"/>
      <c r="F252" s="13"/>
      <c r="G252" s="13"/>
      <c r="H252" s="14"/>
    </row>
    <row r="253" spans="1:8" ht="21" hidden="1" customHeight="1">
      <c r="A253" s="12"/>
      <c r="B253" s="60" t="str">
        <f>DATA!A243</f>
        <v>Flag Set of 3 Big</v>
      </c>
      <c r="C253" s="12"/>
      <c r="D253" s="71"/>
      <c r="E253" s="13"/>
      <c r="F253" s="13"/>
      <c r="G253" s="13"/>
      <c r="H253" s="14"/>
    </row>
    <row r="254" spans="1:8" ht="21" hidden="1" customHeight="1">
      <c r="A254" s="12"/>
      <c r="B254" s="60" t="str">
        <f>DATA!A244</f>
        <v>Flag set of 3 small</v>
      </c>
      <c r="C254" s="12"/>
      <c r="D254" s="71"/>
      <c r="E254" s="13"/>
      <c r="F254" s="13"/>
      <c r="G254" s="13"/>
      <c r="H254" s="14"/>
    </row>
    <row r="255" spans="1:8" ht="21" hidden="1" customHeight="1">
      <c r="A255" s="12"/>
      <c r="B255" s="60" t="str">
        <f>DATA!A245</f>
        <v>Flexbol 120 LED</v>
      </c>
      <c r="C255" s="12"/>
      <c r="D255" s="71"/>
      <c r="E255" s="13"/>
      <c r="F255" s="13"/>
      <c r="G255" s="13"/>
      <c r="H255" s="14"/>
    </row>
    <row r="256" spans="1:8" ht="21" hidden="1" customHeight="1">
      <c r="A256" s="12"/>
      <c r="B256" s="60" t="str">
        <f>DATA!A246</f>
        <v>Flexbol BIG LED</v>
      </c>
      <c r="C256" s="12"/>
      <c r="D256" s="71"/>
      <c r="E256" s="13"/>
      <c r="F256" s="13"/>
      <c r="G256" s="13"/>
      <c r="H256" s="14"/>
    </row>
    <row r="257" spans="1:8" ht="21" hidden="1" customHeight="1">
      <c r="A257" s="12"/>
      <c r="B257" s="60" t="str">
        <f>DATA!A247</f>
        <v>Flexbol Small  LED</v>
      </c>
      <c r="C257" s="12"/>
      <c r="D257" s="71"/>
      <c r="E257" s="13"/>
      <c r="F257" s="13"/>
      <c r="G257" s="13"/>
      <c r="H257" s="14"/>
    </row>
    <row r="258" spans="1:8" ht="21" hidden="1" customHeight="1">
      <c r="A258" s="12"/>
      <c r="B258" s="60" t="str">
        <f>DATA!A248</f>
        <v>Floor Manager</v>
      </c>
      <c r="C258" s="12"/>
      <c r="D258" s="71"/>
      <c r="E258" s="13"/>
      <c r="F258" s="13"/>
      <c r="G258" s="13"/>
      <c r="H258" s="14"/>
    </row>
    <row r="259" spans="1:8" ht="21" hidden="1" customHeight="1">
      <c r="A259" s="12"/>
      <c r="B259" s="60" t="str">
        <f>DATA!A249</f>
        <v>Focus Puller (1st AC)</v>
      </c>
      <c r="C259" s="12"/>
      <c r="D259" s="71"/>
      <c r="E259" s="13"/>
      <c r="F259" s="13"/>
      <c r="G259" s="13"/>
      <c r="H259" s="14"/>
    </row>
    <row r="260" spans="1:8" ht="21" hidden="1" customHeight="1">
      <c r="A260" s="12"/>
      <c r="B260" s="60" t="str">
        <f>DATA!A250</f>
        <v>Forza 300 LED</v>
      </c>
      <c r="C260" s="12"/>
      <c r="D260" s="71"/>
      <c r="E260" s="13"/>
      <c r="F260" s="13"/>
      <c r="G260" s="13"/>
      <c r="H260" s="14"/>
    </row>
    <row r="261" spans="1:8" ht="21" hidden="1" customHeight="1">
      <c r="A261" s="12"/>
      <c r="B261" s="60" t="str">
        <f>DATA!A251</f>
        <v>Forza 500 LED</v>
      </c>
      <c r="C261" s="12"/>
      <c r="D261" s="71"/>
      <c r="E261" s="13"/>
      <c r="F261" s="13"/>
      <c r="G261" s="13"/>
      <c r="H261" s="14"/>
    </row>
    <row r="262" spans="1:8" ht="21" hidden="1" customHeight="1">
      <c r="A262" s="12"/>
      <c r="B262" s="60" t="str">
        <f>DATA!A252</f>
        <v>Forza 60 LED</v>
      </c>
      <c r="C262" s="12"/>
      <c r="D262" s="71"/>
      <c r="E262" s="13"/>
      <c r="F262" s="13"/>
      <c r="G262" s="13"/>
      <c r="H262" s="14"/>
    </row>
    <row r="263" spans="1:8" ht="21" hidden="1" customHeight="1">
      <c r="A263" s="12"/>
      <c r="B263" s="60" t="str">
        <f>DATA!A253</f>
        <v>FPV Operator</v>
      </c>
      <c r="C263" s="12"/>
      <c r="D263" s="71"/>
      <c r="E263" s="13"/>
      <c r="F263" s="13"/>
      <c r="G263" s="13"/>
      <c r="H263" s="14"/>
    </row>
    <row r="264" spans="1:8" ht="21" hidden="1" customHeight="1">
      <c r="A264" s="12"/>
      <c r="B264" s="60" t="str">
        <f>DATA!A254</f>
        <v>FREE STYLE 120 LED</v>
      </c>
      <c r="C264" s="12"/>
      <c r="D264" s="71"/>
      <c r="E264" s="13"/>
      <c r="F264" s="13"/>
      <c r="G264" s="13"/>
      <c r="H264" s="14"/>
    </row>
    <row r="265" spans="1:8" ht="21" hidden="1" customHeight="1">
      <c r="A265" s="12"/>
      <c r="B265" s="60" t="str">
        <f>DATA!A255</f>
        <v xml:space="preserve">FREE STYLE 30 LED </v>
      </c>
      <c r="C265" s="12"/>
      <c r="D265" s="71"/>
      <c r="E265" s="13"/>
      <c r="F265" s="13"/>
      <c r="G265" s="13"/>
      <c r="H265" s="14"/>
    </row>
    <row r="266" spans="1:8" ht="21" hidden="1" customHeight="1">
      <c r="A266" s="12"/>
      <c r="B266" s="60" t="str">
        <f>DATA!A256</f>
        <v>FREE STYLE 60 LED</v>
      </c>
      <c r="C266" s="12"/>
      <c r="D266" s="71"/>
      <c r="E266" s="13"/>
      <c r="F266" s="13"/>
      <c r="G266" s="13"/>
      <c r="H266" s="14"/>
    </row>
    <row r="267" spans="1:8" ht="21" hidden="1" customHeight="1">
      <c r="A267" s="12"/>
      <c r="B267" s="60" t="str">
        <f>DATA!A257</f>
        <v>FREE STYLE 90 LED</v>
      </c>
      <c r="C267" s="12"/>
      <c r="D267" s="71"/>
      <c r="E267" s="13"/>
      <c r="F267" s="13"/>
      <c r="G267" s="13"/>
      <c r="H267" s="14"/>
    </row>
    <row r="268" spans="1:8" ht="21" hidden="1" customHeight="1">
      <c r="A268" s="12"/>
      <c r="B268" s="60" t="str">
        <f>DATA!A258</f>
        <v xml:space="preserve">Freefly Movi Pro </v>
      </c>
      <c r="C268" s="12"/>
      <c r="D268" s="71"/>
      <c r="E268" s="13"/>
      <c r="F268" s="13"/>
      <c r="G268" s="13"/>
      <c r="H268" s="14"/>
    </row>
    <row r="269" spans="1:8" ht="21" hidden="1" customHeight="1">
      <c r="A269" s="12"/>
      <c r="B269" s="60" t="str">
        <f>DATA!A259</f>
        <v xml:space="preserve">Freefly Movi XL </v>
      </c>
      <c r="C269" s="12"/>
      <c r="D269" s="71"/>
      <c r="E269" s="13"/>
      <c r="F269" s="13"/>
      <c r="G269" s="13"/>
      <c r="H269" s="14"/>
    </row>
    <row r="270" spans="1:8" ht="21" hidden="1" customHeight="1">
      <c r="A270" s="12"/>
      <c r="B270" s="60" t="str">
        <f>DATA!A260</f>
        <v>Fujinon Promista Lens 19-45</v>
      </c>
      <c r="C270" s="12"/>
      <c r="D270" s="71"/>
      <c r="E270" s="13"/>
      <c r="F270" s="13"/>
      <c r="G270" s="13"/>
      <c r="H270" s="14"/>
    </row>
    <row r="271" spans="1:8" ht="21" hidden="1" customHeight="1">
      <c r="A271" s="12"/>
      <c r="B271" s="60" t="str">
        <f>DATA!A261</f>
        <v>Fujinon Promista Lens 8-250</v>
      </c>
      <c r="C271" s="12"/>
      <c r="D271" s="71"/>
      <c r="E271" s="13"/>
      <c r="F271" s="13"/>
      <c r="G271" s="13"/>
      <c r="H271" s="14"/>
    </row>
    <row r="272" spans="1:8" ht="21" hidden="1" customHeight="1">
      <c r="A272" s="12"/>
      <c r="B272" s="60" t="str">
        <f>DATA!A262</f>
        <v>Fujion Promista lens 28-100</v>
      </c>
      <c r="C272" s="12"/>
      <c r="D272" s="71"/>
      <c r="E272" s="13"/>
      <c r="F272" s="13"/>
      <c r="G272" s="13"/>
      <c r="H272" s="14"/>
    </row>
    <row r="273" spans="1:8" ht="21" hidden="1" customHeight="1">
      <c r="A273" s="12"/>
      <c r="B273" s="60" t="str">
        <f>DATA!A263</f>
        <v>Gaffer - Chief Lighting Technician</v>
      </c>
      <c r="C273" s="12"/>
      <c r="D273" s="71"/>
      <c r="E273" s="13"/>
      <c r="F273" s="13"/>
      <c r="G273" s="13"/>
      <c r="H273" s="14"/>
    </row>
    <row r="274" spans="1:8" ht="21" hidden="1" customHeight="1">
      <c r="A274" s="12"/>
      <c r="B274" s="60" t="str">
        <f>DATA!A264</f>
        <v xml:space="preserve">Gel Box </v>
      </c>
      <c r="C274" s="12"/>
      <c r="D274" s="71"/>
      <c r="E274" s="13"/>
      <c r="F274" s="13"/>
      <c r="G274" s="13"/>
      <c r="H274" s="14"/>
    </row>
    <row r="275" spans="1:8" ht="21" hidden="1" customHeight="1">
      <c r="A275" s="12"/>
      <c r="B275" s="60" t="str">
        <f>DATA!A265</f>
        <v xml:space="preserve">GFM High Hat </v>
      </c>
      <c r="C275" s="12"/>
      <c r="D275" s="71"/>
      <c r="E275" s="13"/>
      <c r="F275" s="13"/>
      <c r="G275" s="13"/>
      <c r="H275" s="14"/>
    </row>
    <row r="276" spans="1:8" ht="21" hidden="1" customHeight="1">
      <c r="A276" s="12"/>
      <c r="B276" s="60" t="str">
        <f>DATA!A266</f>
        <v xml:space="preserve">GFM Mini Jib Arm </v>
      </c>
      <c r="C276" s="12"/>
      <c r="D276" s="71"/>
      <c r="E276" s="13"/>
      <c r="F276" s="13"/>
      <c r="G276" s="13"/>
      <c r="H276" s="14"/>
    </row>
    <row r="277" spans="1:8" ht="21" hidden="1" customHeight="1">
      <c r="A277" s="12"/>
      <c r="B277" s="60" t="str">
        <f>DATA!A267</f>
        <v xml:space="preserve">GFM Secondo Dolly + Straight &amp; Curved Tracks </v>
      </c>
      <c r="C277" s="12"/>
      <c r="D277" s="71"/>
      <c r="E277" s="13"/>
      <c r="F277" s="13"/>
      <c r="G277" s="13"/>
      <c r="H277" s="14"/>
    </row>
    <row r="278" spans="1:8" ht="21" hidden="1" customHeight="1">
      <c r="A278" s="12"/>
      <c r="B278" s="60" t="str">
        <f>DATA!A268</f>
        <v xml:space="preserve">GFM Slider 2 meters </v>
      </c>
      <c r="C278" s="12"/>
      <c r="D278" s="71"/>
      <c r="E278" s="13"/>
      <c r="F278" s="13"/>
      <c r="G278" s="13"/>
      <c r="H278" s="14"/>
    </row>
    <row r="279" spans="1:8" ht="21" hidden="1" customHeight="1">
      <c r="A279" s="12"/>
      <c r="B279" s="60" t="str">
        <f>DATA!A269</f>
        <v xml:space="preserve">GFM Slider 70cm </v>
      </c>
      <c r="C279" s="12"/>
      <c r="D279" s="71"/>
      <c r="E279" s="13"/>
      <c r="F279" s="13"/>
      <c r="G279" s="13"/>
      <c r="H279" s="14"/>
    </row>
    <row r="280" spans="1:8" ht="21" hidden="1" customHeight="1">
      <c r="A280" s="12"/>
      <c r="B280" s="60" t="str">
        <f>DATA!A270</f>
        <v>GO 150 LED</v>
      </c>
      <c r="C280" s="12"/>
      <c r="D280" s="71"/>
      <c r="E280" s="13"/>
      <c r="F280" s="13"/>
      <c r="G280" s="13"/>
      <c r="H280" s="14"/>
    </row>
    <row r="281" spans="1:8" ht="21" hidden="1" customHeight="1">
      <c r="A281" s="12"/>
      <c r="B281" s="60" t="str">
        <f>DATA!A271</f>
        <v>GO 260 LED</v>
      </c>
      <c r="C281" s="12"/>
      <c r="D281" s="71"/>
      <c r="E281" s="13"/>
      <c r="F281" s="13"/>
      <c r="G281" s="13"/>
      <c r="H281" s="14"/>
    </row>
    <row r="282" spans="1:8" ht="21" hidden="1" customHeight="1">
      <c r="A282" s="12"/>
      <c r="B282" s="60" t="str">
        <f>DATA!A272</f>
        <v>GO 280 LED</v>
      </c>
      <c r="C282" s="12"/>
      <c r="D282" s="71"/>
      <c r="E282" s="13"/>
      <c r="F282" s="13"/>
      <c r="G282" s="13"/>
      <c r="H282" s="14"/>
    </row>
    <row r="283" spans="1:8" ht="21" hidden="1" customHeight="1">
      <c r="A283" s="12"/>
      <c r="B283" s="60" t="str">
        <f>DATA!A273</f>
        <v>GO 520 LED</v>
      </c>
      <c r="C283" s="12"/>
      <c r="D283" s="71"/>
      <c r="E283" s="13"/>
      <c r="F283" s="13"/>
      <c r="G283" s="13"/>
      <c r="H283" s="14"/>
    </row>
    <row r="284" spans="1:8" ht="21" hidden="1" customHeight="1">
      <c r="A284" s="12"/>
      <c r="B284" s="60" t="str">
        <f>DATA!A274</f>
        <v>Gobo Head Big</v>
      </c>
      <c r="C284" s="12"/>
      <c r="D284" s="71"/>
      <c r="E284" s="13"/>
      <c r="F284" s="13"/>
      <c r="G284" s="13"/>
      <c r="H284" s="14"/>
    </row>
    <row r="285" spans="1:8" ht="21" hidden="1" customHeight="1">
      <c r="A285" s="12"/>
      <c r="B285" s="60" t="str">
        <f>DATA!A275</f>
        <v xml:space="preserve">GODOX AD600PRO </v>
      </c>
      <c r="C285" s="12"/>
      <c r="D285" s="71"/>
      <c r="E285" s="13"/>
      <c r="F285" s="13"/>
      <c r="G285" s="13"/>
      <c r="H285" s="14"/>
    </row>
    <row r="286" spans="1:8" ht="21" hidden="1" customHeight="1">
      <c r="A286" s="12"/>
      <c r="B286" s="60" t="str">
        <f>DATA!A276</f>
        <v>GODOX P120 SOFTBOX</v>
      </c>
      <c r="C286" s="12"/>
      <c r="D286" s="71"/>
      <c r="E286" s="13"/>
      <c r="F286" s="13"/>
      <c r="G286" s="13"/>
      <c r="H286" s="14"/>
    </row>
    <row r="287" spans="1:8" ht="21" hidden="1" customHeight="1">
      <c r="A287" s="12"/>
      <c r="B287" s="60" t="str">
        <f>DATA!A277</f>
        <v>GODOX P90 SOFTBOX</v>
      </c>
      <c r="C287" s="12"/>
      <c r="D287" s="71"/>
      <c r="E287" s="13"/>
      <c r="F287" s="13"/>
      <c r="G287" s="13"/>
      <c r="H287" s="14"/>
    </row>
    <row r="288" spans="1:8" ht="21" hidden="1" customHeight="1">
      <c r="A288" s="12"/>
      <c r="B288" s="60" t="str">
        <f>DATA!A278</f>
        <v>GoPro HERO12</v>
      </c>
      <c r="C288" s="12"/>
      <c r="D288" s="71"/>
      <c r="E288" s="13"/>
      <c r="F288" s="13"/>
      <c r="G288" s="13"/>
      <c r="H288" s="14"/>
    </row>
    <row r="289" spans="1:8" ht="21" hidden="1" customHeight="1">
      <c r="A289" s="12"/>
      <c r="B289" s="60" t="str">
        <f>DATA!A279</f>
        <v>GoPro Max</v>
      </c>
      <c r="C289" s="12"/>
      <c r="D289" s="71"/>
      <c r="E289" s="13"/>
      <c r="F289" s="13"/>
      <c r="G289" s="13"/>
      <c r="H289" s="14"/>
    </row>
    <row r="290" spans="1:8" ht="21" hidden="1" customHeight="1">
      <c r="A290" s="12"/>
      <c r="B290" s="60" t="str">
        <f>DATA!A280</f>
        <v xml:space="preserve">Graphic Designer </v>
      </c>
      <c r="C290" s="12"/>
      <c r="D290" s="71"/>
      <c r="E290" s="13"/>
      <c r="F290" s="13"/>
      <c r="G290" s="13"/>
      <c r="H290" s="14"/>
    </row>
    <row r="291" spans="1:8" ht="21" hidden="1" customHeight="1">
      <c r="A291" s="12"/>
      <c r="B291" s="60" t="str">
        <f>DATA!A281</f>
        <v>Graphic Designer Senior</v>
      </c>
      <c r="C291" s="12"/>
      <c r="D291" s="71"/>
      <c r="E291" s="13"/>
      <c r="F291" s="13"/>
      <c r="G291" s="13"/>
      <c r="H291" s="14"/>
    </row>
    <row r="292" spans="1:8" ht="21" hidden="1" customHeight="1">
      <c r="A292" s="12"/>
      <c r="B292" s="60" t="str">
        <f>DATA!A282</f>
        <v>Grip</v>
      </c>
      <c r="C292" s="12"/>
      <c r="D292" s="71"/>
      <c r="E292" s="13"/>
      <c r="F292" s="13"/>
      <c r="G292" s="13"/>
      <c r="H292" s="14"/>
    </row>
    <row r="293" spans="1:8" ht="21" hidden="1" customHeight="1">
      <c r="A293" s="12"/>
      <c r="B293" s="60" t="str">
        <f>DATA!A283</f>
        <v>Grip Assistant</v>
      </c>
      <c r="C293" s="12"/>
      <c r="D293" s="71"/>
      <c r="E293" s="13"/>
      <c r="F293" s="13"/>
      <c r="G293" s="13"/>
      <c r="H293" s="14"/>
    </row>
    <row r="294" spans="1:8" ht="21" hidden="1" customHeight="1">
      <c r="A294" s="12"/>
      <c r="B294" s="60" t="str">
        <f>DATA!A284</f>
        <v>Grip Box</v>
      </c>
      <c r="C294" s="12"/>
      <c r="D294" s="71"/>
      <c r="E294" s="13"/>
      <c r="F294" s="13"/>
      <c r="G294" s="13"/>
      <c r="H294" s="14"/>
    </row>
    <row r="295" spans="1:8" ht="21" hidden="1" customHeight="1">
      <c r="A295" s="12"/>
      <c r="B295" s="60" t="str">
        <f>DATA!A285</f>
        <v xml:space="preserve">Grip Box </v>
      </c>
      <c r="C295" s="12"/>
      <c r="D295" s="71"/>
      <c r="E295" s="13"/>
      <c r="F295" s="13"/>
      <c r="G295" s="13"/>
      <c r="H295" s="14"/>
    </row>
    <row r="296" spans="1:8" ht="21" hidden="1" customHeight="1">
      <c r="A296" s="12"/>
      <c r="B296" s="60" t="str">
        <f>DATA!A286</f>
        <v xml:space="preserve">Grip Tech Vibration Isolator </v>
      </c>
      <c r="C296" s="12"/>
      <c r="D296" s="71"/>
      <c r="E296" s="13"/>
      <c r="F296" s="13"/>
      <c r="G296" s="13"/>
      <c r="H296" s="14"/>
    </row>
    <row r="297" spans="1:8" ht="21" hidden="1" customHeight="1">
      <c r="A297" s="12"/>
      <c r="B297" s="60" t="str">
        <f>DATA!A287</f>
        <v xml:space="preserve">Grip Tech VVI Light Shock Absorber </v>
      </c>
      <c r="C297" s="12"/>
      <c r="D297" s="71"/>
      <c r="E297" s="13"/>
      <c r="F297" s="13"/>
      <c r="G297" s="13"/>
      <c r="H297" s="14"/>
    </row>
    <row r="298" spans="1:8" ht="21" hidden="1" customHeight="1">
      <c r="A298" s="12"/>
      <c r="B298" s="60" t="str">
        <f>DATA!A288</f>
        <v xml:space="preserve">Hair Stylist </v>
      </c>
      <c r="C298" s="12"/>
      <c r="D298" s="71"/>
      <c r="E298" s="13"/>
      <c r="F298" s="13"/>
      <c r="G298" s="13"/>
      <c r="H298" s="14"/>
    </row>
    <row r="299" spans="1:8" ht="21" hidden="1" customHeight="1">
      <c r="A299" s="12"/>
      <c r="B299" s="60" t="str">
        <f>DATA!A289</f>
        <v>Hair Stylist Assistant</v>
      </c>
      <c r="C299" s="12"/>
      <c r="D299" s="71"/>
      <c r="E299" s="13"/>
      <c r="F299" s="13"/>
      <c r="G299" s="13"/>
      <c r="H299" s="14"/>
    </row>
    <row r="300" spans="1:8" ht="21" hidden="1" customHeight="1">
      <c r="A300" s="12"/>
      <c r="B300" s="60" t="str">
        <f>DATA!A290</f>
        <v>Hollyland Up to 8 units with base wireless</v>
      </c>
      <c r="C300" s="12"/>
      <c r="D300" s="71"/>
      <c r="E300" s="13"/>
      <c r="F300" s="13"/>
      <c r="G300" s="13"/>
      <c r="H300" s="14"/>
    </row>
    <row r="301" spans="1:8" ht="21" hidden="1" customHeight="1">
      <c r="A301" s="12"/>
      <c r="B301" s="60" t="str">
        <f>DATA!A291</f>
        <v>Holyland 4k</v>
      </c>
      <c r="C301" s="12"/>
      <c r="D301" s="71"/>
      <c r="E301" s="13"/>
      <c r="F301" s="13"/>
      <c r="G301" s="13"/>
      <c r="H301" s="14"/>
    </row>
    <row r="302" spans="1:8" ht="21" hidden="1" customHeight="1">
      <c r="A302" s="12"/>
      <c r="B302" s="60" t="str">
        <f>DATA!A292</f>
        <v>Hydrolic Panther Dolly</v>
      </c>
      <c r="C302" s="12"/>
      <c r="D302" s="71"/>
      <c r="E302" s="13"/>
      <c r="F302" s="13"/>
      <c r="G302" s="13"/>
      <c r="H302" s="14"/>
    </row>
    <row r="303" spans="1:8" ht="21" hidden="1" customHeight="1">
      <c r="A303" s="12"/>
      <c r="B303" s="60" t="str">
        <f>DATA!A293</f>
        <v xml:space="preserve">Ice Light Kit </v>
      </c>
      <c r="C303" s="12"/>
      <c r="D303" s="71"/>
      <c r="E303" s="13"/>
      <c r="F303" s="13"/>
      <c r="G303" s="13"/>
      <c r="H303" s="14"/>
    </row>
    <row r="304" spans="1:8" ht="21" hidden="1" customHeight="1">
      <c r="A304" s="12"/>
      <c r="B304" s="60" t="str">
        <f>DATA!A294</f>
        <v xml:space="preserve">IDS Indie Slider </v>
      </c>
      <c r="C304" s="12"/>
      <c r="D304" s="71"/>
      <c r="E304" s="13"/>
      <c r="F304" s="13"/>
      <c r="G304" s="13"/>
      <c r="H304" s="14"/>
    </row>
    <row r="305" spans="1:8" ht="21" hidden="1" customHeight="1">
      <c r="A305" s="12"/>
      <c r="B305" s="60" t="str">
        <f>DATA!A295</f>
        <v>Ifootage Motorized Slider</v>
      </c>
      <c r="C305" s="12"/>
      <c r="D305" s="71"/>
      <c r="E305" s="13"/>
      <c r="F305" s="13"/>
      <c r="G305" s="13"/>
      <c r="H305" s="14"/>
    </row>
    <row r="306" spans="1:8" ht="21" hidden="1" customHeight="1">
      <c r="A306" s="12"/>
      <c r="B306" s="60" t="str">
        <f>DATA!A296</f>
        <v>illustrator</v>
      </c>
      <c r="C306" s="12"/>
      <c r="D306" s="71"/>
      <c r="E306" s="13"/>
      <c r="F306" s="13"/>
      <c r="G306" s="13"/>
      <c r="H306" s="14"/>
    </row>
    <row r="307" spans="1:8" ht="21" hidden="1" customHeight="1">
      <c r="A307" s="12"/>
      <c r="B307" s="60" t="str">
        <f>DATA!A297</f>
        <v>Infographic Animator</v>
      </c>
      <c r="C307" s="12"/>
      <c r="D307" s="71"/>
      <c r="E307" s="13"/>
      <c r="F307" s="13"/>
      <c r="G307" s="13"/>
      <c r="H307" s="14"/>
    </row>
    <row r="308" spans="1:8" ht="21" hidden="1" customHeight="1">
      <c r="A308" s="12"/>
      <c r="B308" s="60" t="str">
        <f>DATA!A298</f>
        <v>Infographic Designer</v>
      </c>
      <c r="C308" s="12"/>
      <c r="D308" s="71"/>
      <c r="E308" s="13"/>
      <c r="F308" s="13"/>
      <c r="G308" s="13"/>
      <c r="H308" s="14"/>
    </row>
    <row r="309" spans="1:8" ht="21" hidden="1" customHeight="1">
      <c r="A309" s="12"/>
      <c r="B309" s="60" t="str">
        <f>DATA!A299</f>
        <v>Intercom (eartec)</v>
      </c>
      <c r="C309" s="12"/>
      <c r="D309" s="71"/>
      <c r="E309" s="13"/>
      <c r="F309" s="13"/>
      <c r="G309" s="13"/>
      <c r="H309" s="14"/>
    </row>
    <row r="310" spans="1:8" ht="21" hidden="1" customHeight="1">
      <c r="A310" s="12"/>
      <c r="B310" s="60" t="str">
        <f>DATA!A300</f>
        <v xml:space="preserve">Jem Ball 500/1000W </v>
      </c>
      <c r="C310" s="12"/>
      <c r="D310" s="71"/>
      <c r="E310" s="13"/>
      <c r="F310" s="13"/>
      <c r="G310" s="13"/>
      <c r="H310" s="14"/>
    </row>
    <row r="311" spans="1:8" ht="21" hidden="1" customHeight="1">
      <c r="A311" s="12"/>
      <c r="B311" s="60" t="str">
        <f>DATA!A301</f>
        <v xml:space="preserve">Jimmy Jib Operator </v>
      </c>
      <c r="C311" s="12"/>
      <c r="D311" s="71"/>
      <c r="E311" s="13"/>
      <c r="F311" s="13"/>
      <c r="G311" s="13"/>
      <c r="H311" s="14"/>
    </row>
    <row r="312" spans="1:8" ht="21" hidden="1" customHeight="1">
      <c r="A312" s="12"/>
      <c r="B312" s="60" t="str">
        <f>DATA!A302</f>
        <v xml:space="preserve">Jimmy Jib Triangle </v>
      </c>
      <c r="C312" s="12"/>
      <c r="D312" s="71"/>
      <c r="E312" s="13"/>
      <c r="F312" s="13"/>
      <c r="G312" s="13"/>
      <c r="H312" s="14"/>
    </row>
    <row r="313" spans="1:8" ht="21" hidden="1" customHeight="1">
      <c r="A313" s="12"/>
      <c r="B313" s="60" t="str">
        <f>DATA!A303</f>
        <v xml:space="preserve">Kamio 6E Kit </v>
      </c>
      <c r="C313" s="12"/>
      <c r="D313" s="71"/>
      <c r="E313" s="13"/>
      <c r="F313" s="13"/>
      <c r="G313" s="13"/>
      <c r="H313" s="14"/>
    </row>
    <row r="314" spans="1:8" ht="21" hidden="1" customHeight="1">
      <c r="A314" s="12"/>
      <c r="B314" s="60" t="str">
        <f>DATA!A304</f>
        <v>Key Grip</v>
      </c>
      <c r="C314" s="12"/>
      <c r="D314" s="71"/>
      <c r="E314" s="13"/>
      <c r="F314" s="13"/>
      <c r="G314" s="13"/>
      <c r="H314" s="14"/>
    </row>
    <row r="315" spans="1:8" ht="21" hidden="1" customHeight="1">
      <c r="A315" s="12"/>
      <c r="B315" s="60" t="str">
        <f>DATA!A305</f>
        <v xml:space="preserve">Kino Flo 120 cm 1 bank </v>
      </c>
      <c r="C315" s="12"/>
      <c r="D315" s="71"/>
      <c r="E315" s="13"/>
      <c r="F315" s="13"/>
      <c r="G315" s="13"/>
      <c r="H315" s="14"/>
    </row>
    <row r="316" spans="1:8" ht="21" hidden="1" customHeight="1">
      <c r="A316" s="12"/>
      <c r="B316" s="60" t="str">
        <f>DATA!A306</f>
        <v xml:space="preserve">Kino Flo 120 cm 4bank </v>
      </c>
      <c r="C316" s="12"/>
      <c r="D316" s="71"/>
      <c r="E316" s="13"/>
      <c r="F316" s="13"/>
      <c r="G316" s="13"/>
      <c r="H316" s="14"/>
    </row>
    <row r="317" spans="1:8" ht="21" hidden="1" customHeight="1">
      <c r="A317" s="12"/>
      <c r="B317" s="60" t="str">
        <f>DATA!A307</f>
        <v xml:space="preserve">Kino Flo 120 cm 4bank (box) </v>
      </c>
      <c r="C317" s="12"/>
      <c r="D317" s="71"/>
      <c r="E317" s="13"/>
      <c r="F317" s="13"/>
      <c r="G317" s="13"/>
      <c r="H317" s="14"/>
    </row>
    <row r="318" spans="1:8" ht="21" hidden="1" customHeight="1">
      <c r="A318" s="12"/>
      <c r="B318" s="60" t="str">
        <f>DATA!A308</f>
        <v xml:space="preserve">Kino Flo 2ft Double </v>
      </c>
      <c r="C318" s="12"/>
      <c r="D318" s="71"/>
      <c r="E318" s="13"/>
      <c r="F318" s="13"/>
      <c r="G318" s="13"/>
      <c r="H318" s="14"/>
    </row>
    <row r="319" spans="1:8" ht="21" hidden="1" customHeight="1">
      <c r="A319" s="12"/>
      <c r="B319" s="60" t="str">
        <f>DATA!A309</f>
        <v xml:space="preserve">Kino Flo 2ft Single </v>
      </c>
      <c r="C319" s="12"/>
      <c r="D319" s="71"/>
      <c r="E319" s="13"/>
      <c r="F319" s="13"/>
      <c r="G319" s="13"/>
      <c r="H319" s="14"/>
    </row>
    <row r="320" spans="1:8" ht="21" hidden="1" customHeight="1">
      <c r="A320" s="12"/>
      <c r="B320" s="60" t="str">
        <f>DATA!A310</f>
        <v xml:space="preserve">Kino Flo 4ft Double </v>
      </c>
      <c r="C320" s="12"/>
      <c r="D320" s="71"/>
      <c r="E320" s="13"/>
      <c r="F320" s="13"/>
      <c r="G320" s="13"/>
      <c r="H320" s="14"/>
    </row>
    <row r="321" spans="1:8" ht="21" hidden="1" customHeight="1">
      <c r="A321" s="12"/>
      <c r="B321" s="60" t="str">
        <f>DATA!A311</f>
        <v xml:space="preserve">Kino Flo 4ft Single </v>
      </c>
      <c r="C321" s="12"/>
      <c r="D321" s="71"/>
      <c r="E321" s="13"/>
      <c r="F321" s="13"/>
      <c r="G321" s="13"/>
      <c r="H321" s="14"/>
    </row>
    <row r="322" spans="1:8" ht="21" hidden="1" customHeight="1">
      <c r="A322" s="12"/>
      <c r="B322" s="60" t="str">
        <f>DATA!A312</f>
        <v xml:space="preserve">Kino Flo 60 cm 1 bank </v>
      </c>
      <c r="C322" s="12"/>
      <c r="D322" s="71"/>
      <c r="E322" s="13"/>
      <c r="F322" s="13"/>
      <c r="G322" s="13"/>
      <c r="H322" s="14"/>
    </row>
    <row r="323" spans="1:8" ht="21" hidden="1" customHeight="1">
      <c r="A323" s="12"/>
      <c r="B323" s="60" t="str">
        <f>DATA!A313</f>
        <v xml:space="preserve">Kino Flo 60 cm 4bank </v>
      </c>
      <c r="C323" s="12"/>
      <c r="D323" s="71"/>
      <c r="E323" s="13"/>
      <c r="F323" s="13"/>
      <c r="G323" s="13"/>
      <c r="H323" s="14"/>
    </row>
    <row r="324" spans="1:8" ht="21" hidden="1" customHeight="1">
      <c r="A324" s="12"/>
      <c r="B324" s="60" t="str">
        <f>DATA!A314</f>
        <v xml:space="preserve">Kino Flo 60 cm 4bank (box) </v>
      </c>
      <c r="C324" s="12"/>
      <c r="D324" s="71"/>
      <c r="E324" s="13"/>
      <c r="F324" s="13"/>
      <c r="G324" s="13"/>
      <c r="H324" s="14"/>
    </row>
    <row r="325" spans="1:8" ht="21" hidden="1" customHeight="1">
      <c r="A325" s="12"/>
      <c r="B325" s="60" t="str">
        <f>DATA!A315</f>
        <v xml:space="preserve">Kino Flo Celeb 200 </v>
      </c>
      <c r="C325" s="12"/>
      <c r="D325" s="71"/>
      <c r="E325" s="13"/>
      <c r="F325" s="13"/>
      <c r="G325" s="13"/>
      <c r="H325" s="14"/>
    </row>
    <row r="326" spans="1:8" ht="21" hidden="1" customHeight="1">
      <c r="A326" s="12"/>
      <c r="B326" s="60" t="str">
        <f>DATA!A316</f>
        <v xml:space="preserve">Kino Flo Diva 400 </v>
      </c>
      <c r="C326" s="12"/>
      <c r="D326" s="71"/>
      <c r="E326" s="13"/>
      <c r="F326" s="13"/>
      <c r="G326" s="13"/>
      <c r="H326" s="14"/>
    </row>
    <row r="327" spans="1:8" ht="21" hidden="1" customHeight="1">
      <c r="A327" s="12"/>
      <c r="B327" s="60" t="str">
        <f>DATA!A317</f>
        <v xml:space="preserve">Kino Flo Flat Head </v>
      </c>
      <c r="C327" s="12"/>
      <c r="D327" s="71"/>
      <c r="E327" s="13"/>
      <c r="F327" s="13"/>
      <c r="G327" s="13"/>
      <c r="H327" s="14"/>
    </row>
    <row r="328" spans="1:8" ht="21" hidden="1" customHeight="1">
      <c r="A328" s="12"/>
      <c r="B328" s="60" t="str">
        <f>DATA!A318</f>
        <v xml:space="preserve">Kino Flo Select LED </v>
      </c>
      <c r="C328" s="12"/>
      <c r="D328" s="71"/>
      <c r="E328" s="13"/>
      <c r="F328" s="13"/>
      <c r="G328" s="13"/>
      <c r="H328" s="14"/>
    </row>
    <row r="329" spans="1:8" ht="21" hidden="1" customHeight="1">
      <c r="A329" s="12"/>
      <c r="B329" s="60" t="str">
        <f>DATA!A319</f>
        <v xml:space="preserve">Kowa Anamorphic Lens Kit – 40,50,75mm (with 30mm extender) </v>
      </c>
      <c r="C329" s="12"/>
      <c r="D329" s="71"/>
      <c r="E329" s="13"/>
      <c r="F329" s="13"/>
      <c r="G329" s="13"/>
      <c r="H329" s="14"/>
    </row>
    <row r="330" spans="1:8" ht="21" hidden="1" customHeight="1">
      <c r="A330" s="12"/>
      <c r="B330" s="60" t="str">
        <f>DATA!A320</f>
        <v>L10 LED</v>
      </c>
      <c r="C330" s="12"/>
      <c r="D330" s="71"/>
      <c r="E330" s="13"/>
      <c r="F330" s="13"/>
      <c r="G330" s="13"/>
      <c r="H330" s="14"/>
    </row>
    <row r="331" spans="1:8" ht="21" hidden="1" customHeight="1">
      <c r="A331" s="12"/>
      <c r="B331" s="60" t="str">
        <f>DATA!A321</f>
        <v>L5 LED</v>
      </c>
      <c r="C331" s="12"/>
      <c r="D331" s="71"/>
      <c r="E331" s="13"/>
      <c r="F331" s="13"/>
      <c r="G331" s="13"/>
      <c r="H331" s="14"/>
    </row>
    <row r="332" spans="1:8" ht="21" hidden="1" customHeight="1">
      <c r="A332" s="12"/>
      <c r="B332" s="60" t="str">
        <f>DATA!A322</f>
        <v>L7 LED</v>
      </c>
      <c r="C332" s="12"/>
      <c r="D332" s="71"/>
      <c r="E332" s="13"/>
      <c r="F332" s="13"/>
      <c r="G332" s="13"/>
      <c r="H332" s="14"/>
    </row>
    <row r="333" spans="1:8" ht="21" hidden="1" customHeight="1">
      <c r="A333" s="12"/>
      <c r="B333" s="60" t="str">
        <f>DATA!A323</f>
        <v>LAN LIGHT Halogen fresnel</v>
      </c>
      <c r="C333" s="12"/>
      <c r="D333" s="71"/>
      <c r="E333" s="13"/>
      <c r="F333" s="13"/>
      <c r="G333" s="13"/>
      <c r="H333" s="14"/>
    </row>
    <row r="334" spans="1:8" ht="21" hidden="1" customHeight="1">
      <c r="A334" s="12"/>
      <c r="B334" s="60" t="str">
        <f>DATA!A324</f>
        <v xml:space="preserve">Landscape Photographer </v>
      </c>
      <c r="C334" s="12"/>
      <c r="D334" s="71"/>
      <c r="E334" s="13"/>
      <c r="F334" s="13"/>
      <c r="G334" s="13"/>
      <c r="H334" s="14"/>
    </row>
    <row r="335" spans="1:8" ht="21" hidden="1" customHeight="1">
      <c r="A335" s="12"/>
      <c r="B335" s="60" t="str">
        <f>DATA!A325</f>
        <v xml:space="preserve">Landscape Photographer With Edited Images </v>
      </c>
      <c r="C335" s="12"/>
      <c r="D335" s="71"/>
      <c r="E335" s="13"/>
      <c r="F335" s="13"/>
      <c r="G335" s="13"/>
      <c r="H335" s="14"/>
    </row>
    <row r="336" spans="1:8" ht="21" hidden="1" customHeight="1">
      <c r="A336" s="12"/>
      <c r="B336" s="60" t="str">
        <f>DATA!A326</f>
        <v>LEBO 1000 LED</v>
      </c>
      <c r="C336" s="12"/>
      <c r="D336" s="71"/>
      <c r="E336" s="13"/>
      <c r="F336" s="13"/>
      <c r="G336" s="13"/>
      <c r="H336" s="14"/>
    </row>
    <row r="337" spans="1:8" ht="21" hidden="1" customHeight="1">
      <c r="A337" s="12"/>
      <c r="B337" s="60" t="str">
        <f>DATA!A327</f>
        <v>LEBO 2000 LED</v>
      </c>
      <c r="C337" s="12"/>
      <c r="D337" s="71"/>
      <c r="E337" s="13"/>
      <c r="F337" s="13"/>
      <c r="G337" s="13"/>
      <c r="H337" s="14"/>
    </row>
    <row r="338" spans="1:8" ht="21" hidden="1" customHeight="1">
      <c r="A338" s="12"/>
      <c r="B338" s="60" t="str">
        <f>DATA!A328</f>
        <v>LEBO 30 LED</v>
      </c>
      <c r="C338" s="12"/>
      <c r="D338" s="71"/>
      <c r="E338" s="13"/>
      <c r="F338" s="13"/>
      <c r="G338" s="13"/>
      <c r="H338" s="14"/>
    </row>
    <row r="339" spans="1:8" ht="21" hidden="1" customHeight="1">
      <c r="A339" s="12"/>
      <c r="B339" s="60" t="str">
        <f>DATA!A329</f>
        <v>LEBO 60 LED</v>
      </c>
      <c r="C339" s="12"/>
      <c r="D339" s="71"/>
      <c r="E339" s="13"/>
      <c r="F339" s="13"/>
      <c r="G339" s="13"/>
      <c r="H339" s="14"/>
    </row>
    <row r="340" spans="1:8" ht="21" hidden="1" customHeight="1">
      <c r="A340" s="12"/>
      <c r="B340" s="60" t="str">
        <f>DATA!A330</f>
        <v>LEBO 650 LED</v>
      </c>
      <c r="C340" s="12"/>
      <c r="D340" s="71"/>
      <c r="E340" s="13"/>
      <c r="F340" s="13"/>
      <c r="G340" s="13"/>
      <c r="H340" s="14"/>
    </row>
    <row r="341" spans="1:8" ht="21" hidden="1" customHeight="1">
      <c r="A341" s="12"/>
      <c r="B341" s="60" t="str">
        <f>DATA!A331</f>
        <v xml:space="preserve">LED 15x5 </v>
      </c>
      <c r="C341" s="12"/>
      <c r="D341" s="71"/>
      <c r="E341" s="13"/>
      <c r="F341" s="13"/>
      <c r="G341" s="13"/>
      <c r="H341" s="14"/>
    </row>
    <row r="342" spans="1:8" ht="21" hidden="1" customHeight="1">
      <c r="A342" s="12"/>
      <c r="B342" s="60" t="str">
        <f>DATA!A332</f>
        <v>LED 26*40</v>
      </c>
      <c r="C342" s="12"/>
      <c r="D342" s="71"/>
      <c r="E342" s="13"/>
      <c r="F342" s="13"/>
      <c r="G342" s="13"/>
      <c r="H342" s="14"/>
    </row>
    <row r="343" spans="1:8" ht="21" hidden="1" customHeight="1">
      <c r="A343" s="12"/>
      <c r="B343" s="60" t="str">
        <f>DATA!A333</f>
        <v>LED 27*26</v>
      </c>
      <c r="C343" s="12"/>
      <c r="D343" s="71"/>
      <c r="E343" s="13"/>
      <c r="F343" s="13"/>
      <c r="G343" s="13"/>
      <c r="H343" s="14"/>
    </row>
    <row r="344" spans="1:8" ht="21" hidden="1" customHeight="1">
      <c r="A344" s="12"/>
      <c r="B344" s="60" t="str">
        <f>DATA!A334</f>
        <v xml:space="preserve">Led Panel Light Kit </v>
      </c>
      <c r="C344" s="12"/>
      <c r="D344" s="71"/>
      <c r="E344" s="13"/>
      <c r="F344" s="13"/>
      <c r="G344" s="13"/>
      <c r="H344" s="14"/>
    </row>
    <row r="345" spans="1:8" ht="21" hidden="1" customHeight="1">
      <c r="A345" s="12"/>
      <c r="B345" s="60" t="str">
        <f>DATA!A335</f>
        <v>LED RASCO 4 LED</v>
      </c>
      <c r="C345" s="12"/>
      <c r="D345" s="71"/>
      <c r="E345" s="13"/>
      <c r="F345" s="13"/>
      <c r="G345" s="13"/>
      <c r="H345" s="14"/>
    </row>
    <row r="346" spans="1:8" ht="21" hidden="1" customHeight="1">
      <c r="A346" s="12"/>
      <c r="B346" s="60" t="str">
        <f>DATA!A336</f>
        <v>LED UNER WATER LED</v>
      </c>
      <c r="C346" s="12"/>
      <c r="D346" s="71"/>
      <c r="E346" s="13"/>
      <c r="F346" s="13"/>
      <c r="G346" s="13"/>
      <c r="H346" s="14"/>
    </row>
    <row r="347" spans="1:8" ht="21" hidden="1" customHeight="1">
      <c r="A347" s="12"/>
      <c r="B347" s="60" t="str">
        <f>DATA!A337</f>
        <v xml:space="preserve">Leica EF Lens Kit B – 21,28,35,50,90,135mm </v>
      </c>
      <c r="C347" s="12"/>
      <c r="D347" s="71"/>
      <c r="E347" s="13"/>
      <c r="F347" s="13"/>
      <c r="G347" s="13"/>
      <c r="H347" s="14"/>
    </row>
    <row r="348" spans="1:8" ht="21" hidden="1" customHeight="1">
      <c r="A348" s="12"/>
      <c r="B348" s="60" t="str">
        <f>DATA!A338</f>
        <v>Leica R Super Speed Lens Kit (19, 28, 35, 50, 80 &amp; 135mm)</v>
      </c>
      <c r="C348" s="12"/>
      <c r="D348" s="71"/>
      <c r="E348" s="13"/>
      <c r="F348" s="13"/>
      <c r="G348" s="13"/>
      <c r="H348" s="14"/>
    </row>
    <row r="349" spans="1:8" ht="21" hidden="1" customHeight="1">
      <c r="A349" s="12"/>
      <c r="B349" s="60" t="str">
        <f>DATA!A339</f>
        <v>Lensbaby Pro Kit for Sony E</v>
      </c>
      <c r="C349" s="12"/>
      <c r="D349" s="71"/>
      <c r="E349" s="13"/>
      <c r="F349" s="13"/>
      <c r="G349" s="13"/>
      <c r="H349" s="14"/>
    </row>
    <row r="350" spans="1:8" ht="21" hidden="1" customHeight="1">
      <c r="A350" s="12"/>
      <c r="B350" s="60" t="str">
        <f>DATA!A340</f>
        <v xml:space="preserve">Libec Monopod </v>
      </c>
      <c r="C350" s="12"/>
      <c r="D350" s="71"/>
      <c r="E350" s="13"/>
      <c r="F350" s="13"/>
      <c r="G350" s="13"/>
      <c r="H350" s="14"/>
    </row>
    <row r="351" spans="1:8" ht="21" hidden="1" customHeight="1">
      <c r="A351" s="12"/>
      <c r="B351" s="60" t="str">
        <f>DATA!A341</f>
        <v>Lighting / Grip Truck with Lifter (Abu Dhabi)</v>
      </c>
      <c r="C351" s="12"/>
      <c r="D351" s="71"/>
      <c r="E351" s="13"/>
      <c r="F351" s="13"/>
      <c r="G351" s="13"/>
      <c r="H351" s="14"/>
    </row>
    <row r="352" spans="1:8" ht="21" hidden="1" customHeight="1">
      <c r="A352" s="12"/>
      <c r="B352" s="60" t="str">
        <f>DATA!A342</f>
        <v>Lighting / Grip Truck with Lifter (Dubai Al Ain) other regions then AD, Al Ain and Dubai</v>
      </c>
      <c r="C352" s="12"/>
      <c r="D352" s="71"/>
      <c r="E352" s="13"/>
      <c r="F352" s="13"/>
      <c r="G352" s="13"/>
      <c r="H352" s="14"/>
    </row>
    <row r="353" spans="1:8" ht="21" hidden="1" customHeight="1">
      <c r="A353" s="12"/>
      <c r="B353" s="60" t="str">
        <f>DATA!A343</f>
        <v>Lighting Designer</v>
      </c>
      <c r="C353" s="12"/>
      <c r="D353" s="71"/>
      <c r="E353" s="13"/>
      <c r="F353" s="13"/>
      <c r="G353" s="13"/>
      <c r="H353" s="14"/>
    </row>
    <row r="354" spans="1:8" ht="21" hidden="1" customHeight="1">
      <c r="A354" s="12"/>
      <c r="B354" s="60" t="str">
        <f>DATA!A344</f>
        <v>Lighting Helper</v>
      </c>
      <c r="C354" s="12"/>
      <c r="D354" s="71"/>
      <c r="E354" s="13"/>
      <c r="F354" s="13"/>
      <c r="G354" s="13"/>
      <c r="H354" s="14"/>
    </row>
    <row r="355" spans="1:8" ht="21" hidden="1" customHeight="1">
      <c r="A355" s="12"/>
      <c r="B355" s="60" t="str">
        <f>DATA!A345</f>
        <v>Lighting Tripod Big</v>
      </c>
      <c r="C355" s="12"/>
      <c r="D355" s="71"/>
      <c r="E355" s="13"/>
      <c r="F355" s="13"/>
      <c r="G355" s="13"/>
      <c r="H355" s="14"/>
    </row>
    <row r="356" spans="1:8" ht="21" hidden="1" customHeight="1">
      <c r="A356" s="12"/>
      <c r="B356" s="60" t="str">
        <f>DATA!A346</f>
        <v>Lighting Tripod small</v>
      </c>
      <c r="C356" s="12"/>
      <c r="D356" s="71"/>
      <c r="E356" s="13"/>
      <c r="F356" s="13"/>
      <c r="G356" s="13"/>
      <c r="H356" s="14"/>
    </row>
    <row r="357" spans="1:8" ht="21" hidden="1" customHeight="1">
      <c r="A357" s="12"/>
      <c r="B357" s="60" t="str">
        <f>DATA!A347</f>
        <v>Line Producer</v>
      </c>
      <c r="C357" s="12"/>
      <c r="D357" s="71"/>
      <c r="E357" s="13"/>
      <c r="F357" s="13"/>
      <c r="G357" s="13"/>
      <c r="H357" s="14"/>
    </row>
    <row r="358" spans="1:8" ht="21" hidden="1" customHeight="1">
      <c r="A358" s="12"/>
      <c r="B358" s="60" t="str">
        <f>DATA!A348</f>
        <v xml:space="preserve">Litemate 1 </v>
      </c>
      <c r="C358" s="12"/>
      <c r="D358" s="71"/>
      <c r="E358" s="13"/>
      <c r="F358" s="13"/>
      <c r="G358" s="13"/>
      <c r="H358" s="14"/>
    </row>
    <row r="359" spans="1:8" ht="21" hidden="1" customHeight="1">
      <c r="A359" s="12"/>
      <c r="B359" s="60" t="str">
        <f>DATA!A349</f>
        <v xml:space="preserve">Litemate 3 </v>
      </c>
      <c r="C359" s="12"/>
      <c r="D359" s="71"/>
      <c r="E359" s="13"/>
      <c r="F359" s="13"/>
      <c r="G359" s="13"/>
      <c r="H359" s="14"/>
    </row>
    <row r="360" spans="1:8" ht="21" hidden="1" customHeight="1">
      <c r="A360" s="12"/>
      <c r="B360" s="60" t="str">
        <f>DATA!A350</f>
        <v xml:space="preserve">Litemate 4 </v>
      </c>
      <c r="C360" s="12"/>
      <c r="D360" s="71"/>
      <c r="E360" s="13"/>
      <c r="F360" s="13"/>
      <c r="G360" s="13"/>
      <c r="H360" s="14"/>
    </row>
    <row r="361" spans="1:8" ht="21" hidden="1" customHeight="1">
      <c r="A361" s="12"/>
      <c r="B361" s="60" t="str">
        <f>DATA!A351</f>
        <v>Magic Arm Big</v>
      </c>
      <c r="C361" s="12"/>
      <c r="D361" s="71"/>
      <c r="E361" s="13"/>
      <c r="F361" s="13"/>
      <c r="G361" s="13"/>
      <c r="H361" s="14"/>
    </row>
    <row r="362" spans="1:8" ht="21" hidden="1" customHeight="1">
      <c r="A362" s="12"/>
      <c r="B362" s="60" t="str">
        <f>DATA!A352</f>
        <v>Magic Arm Small</v>
      </c>
      <c r="C362" s="12"/>
      <c r="D362" s="71"/>
      <c r="E362" s="13"/>
      <c r="F362" s="13"/>
      <c r="G362" s="13"/>
      <c r="H362" s="14"/>
    </row>
    <row r="363" spans="1:8" ht="21" hidden="1" customHeight="1">
      <c r="A363" s="12"/>
      <c r="B363" s="60" t="str">
        <f>DATA!A353</f>
        <v>Makeup Artist</v>
      </c>
      <c r="C363" s="12"/>
      <c r="D363" s="71"/>
      <c r="E363" s="13"/>
      <c r="F363" s="13"/>
      <c r="G363" s="13"/>
      <c r="H363" s="14"/>
    </row>
    <row r="364" spans="1:8" ht="21" hidden="1" customHeight="1">
      <c r="A364" s="12"/>
      <c r="B364" s="60" t="str">
        <f>DATA!A354</f>
        <v>Makeup Artist Assistant</v>
      </c>
      <c r="C364" s="12"/>
      <c r="D364" s="71"/>
      <c r="E364" s="13"/>
      <c r="F364" s="13"/>
      <c r="G364" s="13"/>
      <c r="H364" s="14"/>
    </row>
    <row r="365" spans="1:8" ht="21" hidden="1" customHeight="1">
      <c r="A365" s="12"/>
      <c r="B365" s="60" t="str">
        <f>DATA!A355</f>
        <v xml:space="preserve">Makeup Special Effects Specialist </v>
      </c>
      <c r="C365" s="12"/>
      <c r="D365" s="71"/>
      <c r="E365" s="13"/>
      <c r="F365" s="13"/>
      <c r="G365" s="13"/>
      <c r="H365" s="14"/>
    </row>
    <row r="366" spans="1:8" ht="21" hidden="1" customHeight="1">
      <c r="A366" s="12"/>
      <c r="B366" s="60" t="str">
        <f>DATA!A356</f>
        <v xml:space="preserve">Manfrotto 546gb Tripod </v>
      </c>
      <c r="C366" s="12"/>
      <c r="D366" s="71"/>
      <c r="E366" s="13"/>
      <c r="F366" s="13"/>
      <c r="G366" s="13"/>
      <c r="H366" s="14"/>
    </row>
    <row r="367" spans="1:8" ht="21" hidden="1" customHeight="1">
      <c r="A367" s="12"/>
      <c r="B367" s="60" t="str">
        <f>DATA!A357</f>
        <v xml:space="preserve">Maxibrute 12 </v>
      </c>
      <c r="C367" s="12"/>
      <c r="D367" s="71"/>
      <c r="E367" s="13"/>
      <c r="F367" s="13"/>
      <c r="G367" s="13"/>
      <c r="H367" s="14"/>
    </row>
    <row r="368" spans="1:8" ht="21" hidden="1" customHeight="1">
      <c r="A368" s="12"/>
      <c r="B368" s="60" t="str">
        <f>DATA!A358</f>
        <v xml:space="preserve">Maxibrute 6 </v>
      </c>
      <c r="C368" s="12"/>
      <c r="D368" s="71"/>
      <c r="E368" s="13"/>
      <c r="F368" s="13"/>
      <c r="G368" s="13"/>
      <c r="H368" s="14"/>
    </row>
    <row r="369" spans="1:8" ht="21" hidden="1" customHeight="1">
      <c r="A369" s="12"/>
      <c r="B369" s="60" t="str">
        <f>DATA!A359</f>
        <v xml:space="preserve">Maxibrute 9 </v>
      </c>
      <c r="C369" s="12"/>
      <c r="D369" s="71"/>
      <c r="E369" s="13"/>
      <c r="F369" s="13"/>
      <c r="G369" s="13"/>
      <c r="H369" s="14"/>
    </row>
    <row r="370" spans="1:8" ht="21" hidden="1" customHeight="1">
      <c r="A370" s="12"/>
      <c r="B370" s="60" t="str">
        <f>DATA!A360</f>
        <v>Media Asset Manager</v>
      </c>
      <c r="C370" s="12"/>
      <c r="D370" s="71"/>
      <c r="E370" s="13"/>
      <c r="F370" s="13"/>
      <c r="G370" s="13"/>
      <c r="H370" s="14"/>
    </row>
    <row r="371" spans="1:8" ht="21" hidden="1" customHeight="1">
      <c r="A371" s="12"/>
      <c r="B371" s="60" t="str">
        <f>DATA!A361</f>
        <v>Media Manager</v>
      </c>
      <c r="C371" s="12"/>
      <c r="D371" s="71"/>
      <c r="E371" s="13"/>
      <c r="F371" s="13"/>
      <c r="G371" s="13"/>
      <c r="H371" s="14"/>
    </row>
    <row r="372" spans="1:8" ht="21" hidden="1" customHeight="1">
      <c r="A372" s="12"/>
      <c r="B372" s="60" t="str">
        <f>DATA!A362</f>
        <v>Mega Boom Arm for Heavy Lights</v>
      </c>
      <c r="C372" s="12"/>
      <c r="D372" s="71"/>
      <c r="E372" s="13"/>
      <c r="F372" s="13"/>
      <c r="G372" s="13"/>
      <c r="H372" s="14"/>
    </row>
    <row r="373" spans="1:8" ht="21" hidden="1" customHeight="1">
      <c r="A373" s="12"/>
      <c r="B373" s="60" t="str">
        <f>DATA!A363</f>
        <v>MINE MAX LED</v>
      </c>
      <c r="C373" s="12"/>
      <c r="D373" s="71"/>
      <c r="E373" s="13"/>
      <c r="F373" s="13"/>
      <c r="G373" s="13"/>
      <c r="H373" s="14"/>
    </row>
    <row r="374" spans="1:8" ht="21" hidden="1" customHeight="1">
      <c r="A374" s="12"/>
      <c r="B374" s="60" t="str">
        <f>DATA!A364</f>
        <v>Mini Flo 11"</v>
      </c>
      <c r="C374" s="12"/>
      <c r="D374" s="71"/>
      <c r="E374" s="13"/>
      <c r="F374" s="13"/>
      <c r="G374" s="13"/>
      <c r="H374" s="14"/>
    </row>
    <row r="375" spans="1:8" ht="21" hidden="1" customHeight="1">
      <c r="A375" s="12"/>
      <c r="B375" s="60" t="str">
        <f>DATA!A365</f>
        <v xml:space="preserve">Mini Flo 9" </v>
      </c>
      <c r="C375" s="12"/>
      <c r="D375" s="71"/>
      <c r="E375" s="13"/>
      <c r="F375" s="13"/>
      <c r="G375" s="13"/>
      <c r="H375" s="14"/>
    </row>
    <row r="376" spans="1:8" ht="21" hidden="1" customHeight="1">
      <c r="A376" s="12"/>
      <c r="B376" s="60" t="str">
        <f>DATA!A366</f>
        <v xml:space="preserve">Mirror </v>
      </c>
      <c r="C376" s="12"/>
      <c r="D376" s="71"/>
      <c r="E376" s="13"/>
      <c r="F376" s="13"/>
      <c r="G376" s="13"/>
      <c r="H376" s="14"/>
    </row>
    <row r="377" spans="1:8" ht="21" hidden="1" customHeight="1">
      <c r="A377" s="12"/>
      <c r="B377" s="60" t="str">
        <f>DATA!A367</f>
        <v>MIX MAX LED</v>
      </c>
      <c r="C377" s="12"/>
      <c r="D377" s="71"/>
      <c r="E377" s="13"/>
      <c r="F377" s="13"/>
      <c r="G377" s="13"/>
      <c r="H377" s="14"/>
    </row>
    <row r="378" spans="1:8" ht="21" hidden="1" customHeight="1">
      <c r="A378" s="12"/>
      <c r="B378" s="60" t="str">
        <f>DATA!A368</f>
        <v xml:space="preserve">Monopod </v>
      </c>
      <c r="C378" s="12"/>
      <c r="D378" s="71"/>
      <c r="E378" s="13"/>
      <c r="F378" s="13"/>
      <c r="G378" s="13"/>
      <c r="H378" s="14"/>
    </row>
    <row r="379" spans="1:8" ht="21" hidden="1" customHeight="1">
      <c r="A379" s="12"/>
      <c r="B379" s="60" t="str">
        <f>DATA!A369</f>
        <v>Music Composer</v>
      </c>
      <c r="C379" s="12"/>
      <c r="D379" s="71"/>
      <c r="E379" s="13"/>
      <c r="F379" s="13"/>
      <c r="G379" s="13"/>
      <c r="H379" s="14"/>
    </row>
    <row r="380" spans="1:8" ht="21" hidden="1" customHeight="1">
      <c r="A380" s="12"/>
      <c r="B380" s="60" t="str">
        <f>DATA!A370</f>
        <v xml:space="preserve">Nanlux Evoke 1200 </v>
      </c>
      <c r="C380" s="12"/>
      <c r="D380" s="71"/>
      <c r="E380" s="13"/>
      <c r="F380" s="13"/>
      <c r="G380" s="13"/>
      <c r="H380" s="14"/>
    </row>
    <row r="381" spans="1:8" ht="21" hidden="1" customHeight="1">
      <c r="A381" s="12"/>
      <c r="B381" s="60" t="str">
        <f>DATA!A371</f>
        <v>Nanlux Evoke 2400</v>
      </c>
      <c r="C381" s="12"/>
      <c r="D381" s="71"/>
      <c r="E381" s="13"/>
      <c r="F381" s="13"/>
      <c r="G381" s="13"/>
      <c r="H381" s="14"/>
    </row>
    <row r="382" spans="1:8" ht="21" hidden="1" customHeight="1">
      <c r="A382" s="12"/>
      <c r="B382" s="60" t="str">
        <f>DATA!A372</f>
        <v>Nanlux Evoke Softbox and Fersnel Lens</v>
      </c>
      <c r="C382" s="12"/>
      <c r="D382" s="71"/>
      <c r="E382" s="13"/>
      <c r="F382" s="13"/>
      <c r="G382" s="13"/>
      <c r="H382" s="14"/>
    </row>
    <row r="383" spans="1:8" ht="21" hidden="1" customHeight="1">
      <c r="A383" s="12"/>
      <c r="B383" s="60" t="str">
        <f>DATA!A373</f>
        <v>Nicephoto light</v>
      </c>
      <c r="C383" s="12"/>
      <c r="D383" s="71"/>
      <c r="E383" s="13"/>
      <c r="F383" s="13"/>
      <c r="G383" s="13"/>
      <c r="H383" s="14"/>
    </row>
    <row r="384" spans="1:8" ht="21" hidden="1" customHeight="1">
      <c r="A384" s="12"/>
      <c r="B384" s="60" t="str">
        <f>DATA!A374</f>
        <v xml:space="preserve">O’Conner 25/75 Head + Short &amp; Long Leg </v>
      </c>
      <c r="C384" s="12"/>
      <c r="D384" s="71"/>
      <c r="E384" s="13"/>
      <c r="F384" s="13"/>
      <c r="G384" s="13"/>
      <c r="H384" s="14"/>
    </row>
    <row r="385" spans="1:8" ht="21" hidden="1" customHeight="1">
      <c r="A385" s="12"/>
      <c r="B385" s="60" t="str">
        <f>DATA!A375</f>
        <v xml:space="preserve">Orion Anamorphic Lens Set A  40,65,100mm </v>
      </c>
      <c r="C385" s="12"/>
      <c r="D385" s="71"/>
      <c r="E385" s="13"/>
      <c r="F385" s="13"/>
      <c r="G385" s="13"/>
      <c r="H385" s="14"/>
    </row>
    <row r="386" spans="1:8" ht="21" hidden="1" customHeight="1">
      <c r="A386" s="12"/>
      <c r="B386" s="60" t="str">
        <f>DATA!A376</f>
        <v xml:space="preserve">Orion Anamorphic Lens Set B  32,50,80mm </v>
      </c>
      <c r="C386" s="12"/>
      <c r="D386" s="71"/>
      <c r="E386" s="13"/>
      <c r="F386" s="13"/>
      <c r="G386" s="13"/>
      <c r="H386" s="14"/>
    </row>
    <row r="387" spans="1:8" ht="21" hidden="1" customHeight="1">
      <c r="A387" s="12"/>
      <c r="B387" s="60" t="str">
        <f>DATA!A377</f>
        <v xml:space="preserve">Panther Dolly + Straight &amp; Curved Tracks </v>
      </c>
      <c r="C387" s="12"/>
      <c r="D387" s="71"/>
      <c r="E387" s="13"/>
      <c r="F387" s="13"/>
      <c r="G387" s="13"/>
      <c r="H387" s="14"/>
    </row>
    <row r="388" spans="1:8" ht="21" hidden="1" customHeight="1">
      <c r="A388" s="12"/>
      <c r="B388" s="60" t="str">
        <f>DATA!A378</f>
        <v xml:space="preserve">Panther Foxy Pro Crane </v>
      </c>
      <c r="C388" s="12"/>
      <c r="D388" s="71"/>
      <c r="E388" s="13"/>
      <c r="F388" s="13"/>
      <c r="G388" s="13"/>
      <c r="H388" s="14"/>
    </row>
    <row r="389" spans="1:8" ht="21" hidden="1" customHeight="1">
      <c r="A389" s="12"/>
      <c r="B389" s="60" t="str">
        <f>DATA!A379</f>
        <v xml:space="preserve">Panther Slider 2 meters </v>
      </c>
      <c r="C389" s="12"/>
      <c r="D389" s="71"/>
      <c r="E389" s="13"/>
      <c r="F389" s="13"/>
      <c r="G389" s="13"/>
      <c r="H389" s="14"/>
    </row>
    <row r="390" spans="1:8" ht="21" hidden="1" customHeight="1">
      <c r="A390" s="12"/>
      <c r="B390" s="60" t="str">
        <f>DATA!A380</f>
        <v xml:space="preserve">Panther Slider 70cm </v>
      </c>
      <c r="C390" s="12"/>
      <c r="D390" s="71"/>
      <c r="E390" s="13"/>
      <c r="F390" s="13"/>
      <c r="G390" s="13"/>
      <c r="H390" s="14"/>
    </row>
    <row r="391" spans="1:8" ht="21" hidden="1" customHeight="1">
      <c r="A391" s="12"/>
      <c r="B391" s="60" t="str">
        <f>DATA!A381</f>
        <v xml:space="preserve">Panther Wall Spreader </v>
      </c>
      <c r="C391" s="12"/>
      <c r="D391" s="71"/>
      <c r="E391" s="13"/>
      <c r="F391" s="13"/>
      <c r="G391" s="13"/>
      <c r="H391" s="14"/>
    </row>
    <row r="392" spans="1:8" ht="21" hidden="1" customHeight="1">
      <c r="A392" s="12"/>
      <c r="B392" s="60" t="str">
        <f>DATA!A382</f>
        <v>Par Can Light 64</v>
      </c>
      <c r="C392" s="12"/>
      <c r="D392" s="71"/>
      <c r="E392" s="13"/>
      <c r="F392" s="13"/>
      <c r="G392" s="13"/>
      <c r="H392" s="14"/>
    </row>
    <row r="393" spans="1:8" ht="21" hidden="1" customHeight="1">
      <c r="A393" s="12"/>
      <c r="B393" s="60" t="str">
        <f>DATA!A383</f>
        <v xml:space="preserve">Phantom Flex Veo 4K </v>
      </c>
      <c r="C393" s="12"/>
      <c r="D393" s="71"/>
      <c r="E393" s="13"/>
      <c r="F393" s="13"/>
      <c r="G393" s="13"/>
      <c r="H393" s="14"/>
    </row>
    <row r="394" spans="1:8" ht="21" hidden="1" customHeight="1">
      <c r="A394" s="12"/>
      <c r="B394" s="60" t="str">
        <f>DATA!A384</f>
        <v>Photo Editor</v>
      </c>
      <c r="C394" s="12"/>
      <c r="D394" s="71"/>
      <c r="E394" s="13"/>
      <c r="F394" s="13"/>
      <c r="G394" s="13"/>
      <c r="H394" s="14"/>
    </row>
    <row r="395" spans="1:8" ht="21" hidden="1" customHeight="1">
      <c r="A395" s="12"/>
      <c r="B395" s="60" t="str">
        <f>DATA!A385</f>
        <v>Photographer</v>
      </c>
      <c r="C395" s="12"/>
      <c r="D395" s="71"/>
      <c r="E395" s="13"/>
      <c r="F395" s="13"/>
      <c r="G395" s="13"/>
      <c r="H395" s="14"/>
    </row>
    <row r="396" spans="1:8" ht="21" hidden="1" customHeight="1">
      <c r="A396" s="12"/>
      <c r="B396" s="60" t="str">
        <f>DATA!A386</f>
        <v xml:space="preserve">Pipelight 8+ </v>
      </c>
      <c r="C396" s="12"/>
      <c r="D396" s="71"/>
      <c r="E396" s="13"/>
      <c r="F396" s="13"/>
      <c r="G396" s="13"/>
      <c r="H396" s="14"/>
    </row>
    <row r="397" spans="1:8" ht="21" hidden="1" customHeight="1">
      <c r="A397" s="12"/>
      <c r="B397" s="60" t="str">
        <f>DATA!A387</f>
        <v xml:space="preserve">Pipelight Wide 84 </v>
      </c>
      <c r="C397" s="12"/>
      <c r="D397" s="71"/>
      <c r="E397" s="13"/>
      <c r="F397" s="13"/>
      <c r="G397" s="13"/>
      <c r="H397" s="14"/>
    </row>
    <row r="398" spans="1:8" ht="21" hidden="1" customHeight="1">
      <c r="A398" s="12"/>
      <c r="B398" s="60" t="str">
        <f>DATA!A388</f>
        <v xml:space="preserve">PL Mount Director Viewfinder </v>
      </c>
      <c r="C398" s="12"/>
      <c r="D398" s="71"/>
      <c r="E398" s="13"/>
      <c r="F398" s="13"/>
      <c r="G398" s="13"/>
      <c r="H398" s="14"/>
    </row>
    <row r="399" spans="1:8" ht="21" hidden="1" customHeight="1">
      <c r="A399" s="12"/>
      <c r="B399" s="60" t="str">
        <f>DATA!A389</f>
        <v>Playback System Pix 240i</v>
      </c>
      <c r="C399" s="12"/>
      <c r="D399" s="71"/>
      <c r="E399" s="13"/>
      <c r="F399" s="13"/>
      <c r="G399" s="13"/>
      <c r="H399" s="14"/>
    </row>
    <row r="400" spans="1:8" ht="21" hidden="1" customHeight="1">
      <c r="A400" s="12"/>
      <c r="B400" s="60" t="str">
        <f>DATA!A390</f>
        <v xml:space="preserve">Playback System Pix E7 </v>
      </c>
      <c r="C400" s="12"/>
      <c r="D400" s="71"/>
      <c r="E400" s="13"/>
      <c r="F400" s="13"/>
      <c r="G400" s="13"/>
      <c r="H400" s="14"/>
    </row>
    <row r="401" spans="1:8" ht="21" hidden="1" customHeight="1">
      <c r="A401" s="12"/>
      <c r="B401" s="60" t="str">
        <f>DATA!A391</f>
        <v xml:space="preserve">Plura 17” Full HD Monitor </v>
      </c>
      <c r="C401" s="12"/>
      <c r="D401" s="71"/>
      <c r="E401" s="13"/>
      <c r="F401" s="13"/>
      <c r="G401" s="13"/>
      <c r="H401" s="14"/>
    </row>
    <row r="402" spans="1:8" ht="21" hidden="1" customHeight="1">
      <c r="A402" s="12"/>
      <c r="B402" s="60" t="str">
        <f>DATA!A392</f>
        <v xml:space="preserve">Polys Black/white </v>
      </c>
      <c r="C402" s="12"/>
      <c r="D402" s="71"/>
      <c r="E402" s="13"/>
      <c r="F402" s="13"/>
      <c r="G402" s="13"/>
      <c r="H402" s="14"/>
    </row>
    <row r="403" spans="1:8" ht="21" hidden="1" customHeight="1">
      <c r="A403" s="12"/>
      <c r="B403" s="60" t="str">
        <f>DATA!A393</f>
        <v xml:space="preserve">Portraits Photographer </v>
      </c>
      <c r="C403" s="12"/>
      <c r="D403" s="71"/>
      <c r="E403" s="13"/>
      <c r="F403" s="13"/>
      <c r="G403" s="13"/>
      <c r="H403" s="14"/>
    </row>
    <row r="404" spans="1:8" ht="21" hidden="1" customHeight="1">
      <c r="A404" s="12"/>
      <c r="B404" s="60" t="str">
        <f>DATA!A394</f>
        <v xml:space="preserve">Portraits Photographer With Edited Images </v>
      </c>
      <c r="C404" s="12"/>
      <c r="D404" s="71"/>
      <c r="E404" s="13"/>
      <c r="F404" s="13"/>
      <c r="G404" s="13"/>
      <c r="H404" s="14"/>
    </row>
    <row r="405" spans="1:8" ht="21" hidden="1" customHeight="1">
      <c r="A405" s="12"/>
      <c r="B405" s="60" t="str">
        <f>DATA!A395</f>
        <v xml:space="preserve">Post Producer </v>
      </c>
      <c r="C405" s="12"/>
      <c r="D405" s="71"/>
      <c r="E405" s="13"/>
      <c r="F405" s="13"/>
      <c r="G405" s="13"/>
      <c r="H405" s="14"/>
    </row>
    <row r="406" spans="1:8" ht="21" hidden="1" customHeight="1">
      <c r="A406" s="12"/>
      <c r="B406" s="60" t="str">
        <f>DATA!A396</f>
        <v>Power Cables</v>
      </c>
      <c r="C406" s="12"/>
      <c r="D406" s="71"/>
      <c r="E406" s="13"/>
      <c r="F406" s="13"/>
      <c r="G406" s="13"/>
      <c r="H406" s="14"/>
    </row>
    <row r="407" spans="1:8" ht="21" hidden="1" customHeight="1">
      <c r="A407" s="12"/>
      <c r="B407" s="60" t="str">
        <f>DATA!A397</f>
        <v>Producer</v>
      </c>
      <c r="C407" s="12"/>
      <c r="D407" s="71"/>
      <c r="E407" s="13"/>
      <c r="F407" s="13"/>
      <c r="G407" s="13"/>
      <c r="H407" s="14"/>
    </row>
    <row r="408" spans="1:8" ht="21" hidden="1" customHeight="1">
      <c r="A408" s="12"/>
      <c r="B408" s="60" t="str">
        <f>DATA!A398</f>
        <v xml:space="preserve">Product Photographer </v>
      </c>
      <c r="C408" s="12"/>
      <c r="D408" s="71"/>
      <c r="E408" s="13"/>
      <c r="F408" s="13"/>
      <c r="G408" s="13"/>
      <c r="H408" s="14"/>
    </row>
    <row r="409" spans="1:8" ht="21" hidden="1" customHeight="1">
      <c r="A409" s="12"/>
      <c r="B409" s="60" t="str">
        <f>DATA!A399</f>
        <v xml:space="preserve">Product Photographer With Edited Images </v>
      </c>
      <c r="C409" s="12"/>
      <c r="D409" s="71"/>
      <c r="E409" s="13"/>
      <c r="F409" s="13"/>
      <c r="G409" s="13"/>
      <c r="H409" s="14"/>
    </row>
    <row r="410" spans="1:8" ht="21" hidden="1" customHeight="1">
      <c r="A410" s="12"/>
      <c r="B410" s="60" t="str">
        <f>DATA!A400</f>
        <v>Production Assistant</v>
      </c>
      <c r="C410" s="12"/>
      <c r="D410" s="71"/>
      <c r="E410" s="13"/>
      <c r="F410" s="13"/>
      <c r="G410" s="13"/>
      <c r="H410" s="14"/>
    </row>
    <row r="411" spans="1:8" ht="21" hidden="1" customHeight="1">
      <c r="A411" s="12"/>
      <c r="B411" s="60" t="str">
        <f>DATA!A401</f>
        <v>Production Coordinator</v>
      </c>
      <c r="C411" s="12"/>
      <c r="D411" s="71"/>
      <c r="E411" s="13"/>
      <c r="F411" s="13"/>
      <c r="G411" s="13"/>
      <c r="H411" s="14"/>
    </row>
    <row r="412" spans="1:8" ht="21" hidden="1" customHeight="1">
      <c r="A412" s="12"/>
      <c r="B412" s="60" t="str">
        <f>DATA!A402</f>
        <v>Production Manager</v>
      </c>
      <c r="C412" s="12"/>
      <c r="D412" s="71"/>
      <c r="E412" s="13"/>
      <c r="F412" s="13"/>
      <c r="G412" s="13"/>
      <c r="H412" s="14"/>
    </row>
    <row r="413" spans="1:8" ht="21" hidden="1" customHeight="1">
      <c r="A413" s="12"/>
      <c r="B413" s="60" t="str">
        <f>DATA!A403</f>
        <v>Project Coordinator</v>
      </c>
      <c r="C413" s="12"/>
      <c r="D413" s="71"/>
      <c r="E413" s="13"/>
      <c r="F413" s="13"/>
      <c r="G413" s="13"/>
      <c r="H413" s="14"/>
    </row>
    <row r="414" spans="1:8" ht="21" hidden="1" customHeight="1">
      <c r="A414" s="12"/>
      <c r="B414" s="60" t="str">
        <f>DATA!A404</f>
        <v>Project Manager - Campaign</v>
      </c>
      <c r="C414" s="12"/>
      <c r="D414" s="71"/>
      <c r="E414" s="13"/>
      <c r="F414" s="13"/>
      <c r="G414" s="13"/>
      <c r="H414" s="14"/>
    </row>
    <row r="415" spans="1:8" ht="21" hidden="1" customHeight="1">
      <c r="A415" s="12"/>
      <c r="B415" s="60" t="str">
        <f>DATA!A405</f>
        <v>Props Assistant</v>
      </c>
      <c r="C415" s="12"/>
      <c r="D415" s="71"/>
      <c r="E415" s="13"/>
      <c r="F415" s="13"/>
      <c r="G415" s="13"/>
      <c r="H415" s="14"/>
    </row>
    <row r="416" spans="1:8" ht="21" hidden="1" customHeight="1">
      <c r="A416" s="12"/>
      <c r="B416" s="60" t="str">
        <f>DATA!A406</f>
        <v>Props Director</v>
      </c>
      <c r="C416" s="12"/>
      <c r="D416" s="71"/>
      <c r="E416" s="13"/>
      <c r="F416" s="13"/>
      <c r="G416" s="13"/>
      <c r="H416" s="14"/>
    </row>
    <row r="417" spans="1:8" ht="21" hidden="1" customHeight="1">
      <c r="A417" s="12"/>
      <c r="B417" s="60" t="str">
        <f>DATA!A407</f>
        <v>Quartz USA 1k</v>
      </c>
      <c r="C417" s="12"/>
      <c r="D417" s="71"/>
      <c r="E417" s="13"/>
      <c r="F417" s="13"/>
      <c r="G417" s="13"/>
      <c r="H417" s="14"/>
    </row>
    <row r="418" spans="1:8" ht="21" hidden="1" customHeight="1">
      <c r="A418" s="12"/>
      <c r="B418" s="60" t="str">
        <f>DATA!A408</f>
        <v xml:space="preserve">Radiant Soft Filter 4x5.6 – 1,2,3,1/2,1/4 </v>
      </c>
      <c r="C418" s="12"/>
      <c r="D418" s="71"/>
      <c r="E418" s="13"/>
      <c r="F418" s="13"/>
      <c r="G418" s="13"/>
      <c r="H418" s="14"/>
    </row>
    <row r="419" spans="1:8" ht="21" hidden="1" customHeight="1">
      <c r="A419" s="12"/>
      <c r="B419" s="60" t="str">
        <f>DATA!A409</f>
        <v xml:space="preserve">Raptor Rickshaw </v>
      </c>
      <c r="C419" s="12"/>
      <c r="D419" s="71"/>
      <c r="E419" s="13"/>
      <c r="F419" s="13"/>
      <c r="G419" s="13"/>
      <c r="H419" s="14"/>
    </row>
    <row r="420" spans="1:8" ht="21" hidden="1" customHeight="1">
      <c r="A420" s="12"/>
      <c r="B420" s="60" t="str">
        <f>DATA!A410</f>
        <v xml:space="preserve">Ready Rig </v>
      </c>
      <c r="C420" s="12"/>
      <c r="D420" s="71"/>
      <c r="E420" s="13"/>
      <c r="F420" s="13"/>
      <c r="G420" s="13"/>
      <c r="H420" s="14"/>
    </row>
    <row r="421" spans="1:8" ht="21" hidden="1" customHeight="1">
      <c r="A421" s="12"/>
      <c r="B421" s="60" t="str">
        <f>DATA!A411</f>
        <v>READY RIG GS + PROARMS</v>
      </c>
      <c r="C421" s="12"/>
      <c r="D421" s="71"/>
      <c r="E421" s="13"/>
      <c r="F421" s="13"/>
      <c r="G421" s="13"/>
      <c r="H421" s="14"/>
    </row>
    <row r="422" spans="1:8" ht="21" hidden="1" customHeight="1">
      <c r="A422" s="12"/>
      <c r="B422" s="60" t="str">
        <f>DATA!A412</f>
        <v xml:space="preserve">Real Estate Photographer </v>
      </c>
      <c r="C422" s="12"/>
      <c r="D422" s="71"/>
      <c r="E422" s="13"/>
      <c r="F422" s="13"/>
      <c r="G422" s="13"/>
      <c r="H422" s="14"/>
    </row>
    <row r="423" spans="1:8" ht="21" hidden="1" customHeight="1">
      <c r="A423" s="12"/>
      <c r="B423" s="60" t="str">
        <f>DATA!A413</f>
        <v xml:space="preserve">Real Estate Photographer With Edited Images </v>
      </c>
      <c r="C423" s="12"/>
      <c r="D423" s="71"/>
      <c r="E423" s="13"/>
      <c r="F423" s="13"/>
      <c r="G423" s="13"/>
      <c r="H423" s="14"/>
    </row>
    <row r="424" spans="1:8" ht="21" hidden="1" customHeight="1">
      <c r="A424" s="12"/>
      <c r="B424" s="60" t="str">
        <f>DATA!A414</f>
        <v xml:space="preserve">Red 7” Monitor </v>
      </c>
      <c r="C424" s="12"/>
      <c r="D424" s="71"/>
      <c r="E424" s="13"/>
      <c r="F424" s="13"/>
      <c r="G424" s="13"/>
      <c r="H424" s="14"/>
    </row>
    <row r="425" spans="1:8" ht="21" hidden="1" customHeight="1">
      <c r="A425" s="12"/>
      <c r="B425" s="60" t="str">
        <f>DATA!A415</f>
        <v xml:space="preserve">Red Komodo </v>
      </c>
      <c r="C425" s="12"/>
      <c r="D425" s="71"/>
      <c r="E425" s="13"/>
      <c r="F425" s="13"/>
      <c r="G425" s="13"/>
      <c r="H425" s="14"/>
    </row>
    <row r="426" spans="1:8" ht="21" hidden="1" customHeight="1">
      <c r="A426" s="12"/>
      <c r="B426" s="60" t="str">
        <f>DATA!A416</f>
        <v>RED KOMODO-X</v>
      </c>
      <c r="C426" s="12"/>
      <c r="D426" s="71"/>
      <c r="E426" s="13"/>
      <c r="F426" s="13"/>
      <c r="G426" s="13"/>
      <c r="H426" s="14"/>
    </row>
    <row r="427" spans="1:8" ht="21" hidden="1" customHeight="1">
      <c r="A427" s="12"/>
      <c r="B427" s="60" t="str">
        <f>DATA!A417</f>
        <v>Red Shoulder Set</v>
      </c>
      <c r="C427" s="12"/>
      <c r="D427" s="71"/>
      <c r="E427" s="13"/>
      <c r="F427" s="13"/>
      <c r="G427" s="13"/>
      <c r="H427" s="14"/>
    </row>
    <row r="428" spans="1:8" ht="21" hidden="1" customHeight="1">
      <c r="A428" s="12"/>
      <c r="B428" s="60" t="str">
        <f>DATA!A418</f>
        <v xml:space="preserve">RED V-RAPTOR 8K VV </v>
      </c>
      <c r="C428" s="12"/>
      <c r="D428" s="71"/>
      <c r="E428" s="13"/>
      <c r="F428" s="13"/>
      <c r="G428" s="13"/>
      <c r="H428" s="14"/>
    </row>
    <row r="429" spans="1:8" ht="21" hidden="1" customHeight="1">
      <c r="A429" s="12"/>
      <c r="B429" s="60" t="str">
        <f>DATA!A419</f>
        <v xml:space="preserve">RED V-RAPTOR XL </v>
      </c>
      <c r="C429" s="12"/>
      <c r="D429" s="71"/>
      <c r="E429" s="13"/>
      <c r="F429" s="13"/>
      <c r="G429" s="13"/>
      <c r="H429" s="14"/>
    </row>
    <row r="430" spans="1:8" ht="21" hidden="1" customHeight="1">
      <c r="A430" s="12"/>
      <c r="B430" s="60" t="str">
        <f>DATA!A420</f>
        <v xml:space="preserve">Reflector hard/soft </v>
      </c>
      <c r="C430" s="12"/>
      <c r="D430" s="71"/>
      <c r="E430" s="13"/>
      <c r="F430" s="13"/>
      <c r="G430" s="13"/>
      <c r="H430" s="14"/>
    </row>
    <row r="431" spans="1:8" ht="21" hidden="1" customHeight="1">
      <c r="A431" s="12"/>
      <c r="B431" s="60" t="str">
        <f>DATA!A421</f>
        <v>Reporter</v>
      </c>
      <c r="C431" s="12"/>
      <c r="D431" s="71"/>
      <c r="E431" s="13"/>
      <c r="F431" s="13"/>
      <c r="G431" s="13"/>
      <c r="H431" s="14"/>
    </row>
    <row r="432" spans="1:8" ht="21" hidden="1" customHeight="1">
      <c r="A432" s="12"/>
      <c r="B432" s="60" t="str">
        <f>DATA!A422</f>
        <v>Runner - General Assistant</v>
      </c>
      <c r="C432" s="12"/>
      <c r="D432" s="71"/>
      <c r="E432" s="13"/>
      <c r="F432" s="13"/>
      <c r="G432" s="13"/>
      <c r="H432" s="14"/>
    </row>
    <row r="433" spans="1:8" ht="21" hidden="1" customHeight="1">
      <c r="A433" s="12"/>
      <c r="B433" s="60" t="str">
        <f>DATA!A423</f>
        <v xml:space="preserve">Sachtler 25/75 Head + Short &amp; Long Leg </v>
      </c>
      <c r="C433" s="12"/>
      <c r="D433" s="71"/>
      <c r="E433" s="13"/>
      <c r="F433" s="13"/>
      <c r="G433" s="13"/>
      <c r="H433" s="14"/>
    </row>
    <row r="434" spans="1:8" ht="21" hidden="1" customHeight="1">
      <c r="A434" s="12"/>
      <c r="B434" s="60" t="str">
        <f>DATA!A424</f>
        <v xml:space="preserve">Sbring Ball 1200k D </v>
      </c>
      <c r="C434" s="12"/>
      <c r="D434" s="71"/>
      <c r="E434" s="13"/>
      <c r="F434" s="13"/>
      <c r="G434" s="13"/>
      <c r="H434" s="14"/>
    </row>
    <row r="435" spans="1:8" ht="21" hidden="1" customHeight="1">
      <c r="A435" s="12"/>
      <c r="B435" s="60" t="str">
        <f>DATA!A425</f>
        <v>Schneider 4 x 5.65" Hollywood Black Magic 1 Filter</v>
      </c>
      <c r="C435" s="12"/>
      <c r="D435" s="71"/>
      <c r="E435" s="13"/>
      <c r="F435" s="13"/>
      <c r="G435" s="13"/>
      <c r="H435" s="14"/>
    </row>
    <row r="436" spans="1:8" ht="21" hidden="1" customHeight="1">
      <c r="A436" s="12"/>
      <c r="B436" s="60" t="str">
        <f>DATA!A426</f>
        <v>Schneider 4 x 5.65" Hollywood Black Magic 1/2 Filter</v>
      </c>
      <c r="C436" s="12"/>
      <c r="D436" s="71"/>
      <c r="E436" s="13"/>
      <c r="F436" s="13"/>
      <c r="G436" s="13"/>
      <c r="H436" s="14"/>
    </row>
    <row r="437" spans="1:8" ht="21" hidden="1" customHeight="1">
      <c r="A437" s="12"/>
      <c r="B437" s="60" t="str">
        <f>DATA!A427</f>
        <v>Schneider 4 x 5.65" Hollywood Black Magic 1/4 Filter</v>
      </c>
      <c r="C437" s="12"/>
      <c r="D437" s="71"/>
      <c r="E437" s="13"/>
      <c r="F437" s="13"/>
      <c r="G437" s="13"/>
      <c r="H437" s="14"/>
    </row>
    <row r="438" spans="1:8" ht="21" hidden="1" customHeight="1">
      <c r="A438" s="12"/>
      <c r="B438" s="60" t="str">
        <f>DATA!A428</f>
        <v>Schneider 4 x 5.65" Hollywood Black Magic 1/8 Filter</v>
      </c>
      <c r="C438" s="12"/>
      <c r="D438" s="71"/>
      <c r="E438" s="13"/>
      <c r="F438" s="13"/>
      <c r="G438" s="13"/>
      <c r="H438" s="14"/>
    </row>
    <row r="439" spans="1:8" ht="21" hidden="1" customHeight="1">
      <c r="A439" s="12"/>
      <c r="B439" s="60" t="str">
        <f>DATA!A429</f>
        <v>Schneider 4X5.56" Black Frost 1 Water White Glass Filter</v>
      </c>
      <c r="C439" s="12"/>
      <c r="D439" s="71"/>
      <c r="E439" s="13"/>
      <c r="F439" s="13"/>
      <c r="G439" s="13"/>
      <c r="H439" s="14"/>
    </row>
    <row r="440" spans="1:8" ht="21" hidden="1" customHeight="1">
      <c r="A440" s="12"/>
      <c r="B440" s="60" t="str">
        <f>DATA!A430</f>
        <v>Schneider 4x5.65 Black Frost 1/2 Water White Glass Filter</v>
      </c>
      <c r="C440" s="12"/>
      <c r="D440" s="71"/>
      <c r="E440" s="13"/>
      <c r="F440" s="13"/>
      <c r="G440" s="13"/>
      <c r="H440" s="14"/>
    </row>
    <row r="441" spans="1:8" ht="21" hidden="1" customHeight="1">
      <c r="A441" s="12"/>
      <c r="B441" s="60" t="str">
        <f>DATA!A431</f>
        <v>Schneider 4x5.65" Black Frost 1/4 Water White Glass Filter</v>
      </c>
      <c r="C441" s="12"/>
      <c r="D441" s="71"/>
      <c r="E441" s="13"/>
      <c r="F441" s="13"/>
      <c r="G441" s="13"/>
      <c r="H441" s="14"/>
    </row>
    <row r="442" spans="1:8" ht="21" hidden="1" customHeight="1">
      <c r="A442" s="12"/>
      <c r="B442" s="60" t="str">
        <f>DATA!A432</f>
        <v>Schneider 4x5.65" Black Frost 1/8 Water White Glass Filter</v>
      </c>
      <c r="C442" s="12"/>
      <c r="D442" s="71"/>
      <c r="E442" s="13"/>
      <c r="F442" s="13"/>
      <c r="G442" s="13"/>
      <c r="H442" s="14"/>
    </row>
    <row r="443" spans="1:8" ht="21" hidden="1" customHeight="1">
      <c r="A443" s="12"/>
      <c r="B443" s="60" t="str">
        <f>DATA!A433</f>
        <v>Scriptwriter</v>
      </c>
      <c r="C443" s="12"/>
      <c r="D443" s="71"/>
      <c r="E443" s="13"/>
      <c r="F443" s="13"/>
      <c r="G443" s="13"/>
      <c r="H443" s="14"/>
    </row>
    <row r="444" spans="1:8" ht="21" hidden="1" customHeight="1">
      <c r="A444" s="12"/>
      <c r="B444" s="60" t="str">
        <f>DATA!A434</f>
        <v>Segment Producer</v>
      </c>
      <c r="C444" s="12"/>
      <c r="D444" s="71"/>
      <c r="E444" s="13"/>
      <c r="F444" s="13"/>
      <c r="G444" s="13"/>
      <c r="H444" s="14"/>
    </row>
    <row r="445" spans="1:8" ht="21" hidden="1" customHeight="1">
      <c r="A445" s="12"/>
      <c r="B445" s="60" t="str">
        <f>DATA!A435</f>
        <v>Senior Producer</v>
      </c>
      <c r="C445" s="12"/>
      <c r="D445" s="71"/>
      <c r="E445" s="13"/>
      <c r="F445" s="13"/>
      <c r="G445" s="13"/>
      <c r="H445" s="14"/>
    </row>
    <row r="446" spans="1:8" ht="21" hidden="1" customHeight="1">
      <c r="A446" s="12"/>
      <c r="B446" s="60" t="str">
        <f>DATA!A436</f>
        <v>Senior Video Editor</v>
      </c>
      <c r="C446" s="12"/>
      <c r="D446" s="71"/>
      <c r="E446" s="13"/>
      <c r="F446" s="13"/>
      <c r="G446" s="13"/>
      <c r="H446" s="14"/>
    </row>
    <row r="447" spans="1:8" ht="21" hidden="1" customHeight="1">
      <c r="A447" s="12"/>
      <c r="B447" s="60" t="str">
        <f>DATA!A437</f>
        <v xml:space="preserve">Shape Rig Shoulder Set </v>
      </c>
      <c r="C447" s="12"/>
      <c r="D447" s="71"/>
      <c r="E447" s="13"/>
      <c r="F447" s="13"/>
      <c r="G447" s="13"/>
      <c r="H447" s="14"/>
    </row>
    <row r="448" spans="1:8" ht="21" hidden="1" customHeight="1">
      <c r="A448" s="12"/>
      <c r="B448" s="60" t="str">
        <f>DATA!A438</f>
        <v>Slider floatCam</v>
      </c>
      <c r="C448" s="12"/>
      <c r="D448" s="71"/>
      <c r="E448" s="13"/>
      <c r="F448" s="13"/>
      <c r="G448" s="13"/>
      <c r="H448" s="14"/>
    </row>
    <row r="449" spans="1:8" ht="21" hidden="1" customHeight="1">
      <c r="A449" s="12"/>
      <c r="B449" s="60" t="str">
        <f>DATA!A439</f>
        <v xml:space="preserve">Small HD 17” Monitor </v>
      </c>
      <c r="C449" s="12"/>
      <c r="D449" s="71"/>
      <c r="E449" s="13"/>
      <c r="F449" s="13"/>
      <c r="G449" s="13"/>
      <c r="H449" s="14"/>
    </row>
    <row r="450" spans="1:8" ht="21" hidden="1" customHeight="1">
      <c r="A450" s="12"/>
      <c r="B450" s="60" t="str">
        <f>DATA!A440</f>
        <v xml:space="preserve">Small HD 703 Monitor </v>
      </c>
      <c r="C450" s="12"/>
      <c r="D450" s="71"/>
      <c r="E450" s="13"/>
      <c r="F450" s="13"/>
      <c r="G450" s="13"/>
      <c r="H450" s="14"/>
    </row>
    <row r="451" spans="1:8" ht="21" hidden="1" customHeight="1">
      <c r="A451" s="12"/>
      <c r="B451" s="60" t="str">
        <f>DATA!A441</f>
        <v xml:space="preserve">Small Tripod </v>
      </c>
      <c r="C451" s="12"/>
      <c r="D451" s="71"/>
      <c r="E451" s="13"/>
      <c r="F451" s="13"/>
      <c r="G451" s="13"/>
      <c r="H451" s="14"/>
    </row>
    <row r="452" spans="1:8" ht="21" hidden="1" customHeight="1">
      <c r="A452" s="12"/>
      <c r="B452" s="60" t="str">
        <f>DATA!A442</f>
        <v xml:space="preserve">Social Media Content Creator </v>
      </c>
      <c r="C452" s="12"/>
      <c r="D452" s="71"/>
      <c r="E452" s="13"/>
      <c r="F452" s="13"/>
      <c r="G452" s="13"/>
      <c r="H452" s="14"/>
    </row>
    <row r="453" spans="1:8" ht="21" hidden="1" customHeight="1">
      <c r="A453" s="12"/>
      <c r="B453" s="60" t="str">
        <f>DATA!A443</f>
        <v>Social Media Manager</v>
      </c>
      <c r="C453" s="12"/>
      <c r="D453" s="71"/>
      <c r="E453" s="13"/>
      <c r="F453" s="13"/>
      <c r="G453" s="13"/>
      <c r="H453" s="14"/>
    </row>
    <row r="454" spans="1:8" ht="21" hidden="1" customHeight="1">
      <c r="A454" s="12"/>
      <c r="B454" s="60" t="str">
        <f>DATA!A444</f>
        <v>Social Media Stratigist</v>
      </c>
      <c r="C454" s="12"/>
      <c r="D454" s="71"/>
      <c r="E454" s="13"/>
      <c r="F454" s="13"/>
      <c r="G454" s="13"/>
      <c r="H454" s="14"/>
    </row>
    <row r="455" spans="1:8" ht="21" hidden="1" customHeight="1">
      <c r="A455" s="12"/>
      <c r="B455" s="60" t="str">
        <f>DATA!A445</f>
        <v>Soft Box 60</v>
      </c>
      <c r="C455" s="12"/>
      <c r="D455" s="71"/>
      <c r="E455" s="13"/>
      <c r="F455" s="13"/>
      <c r="G455" s="13"/>
      <c r="H455" s="14"/>
    </row>
    <row r="456" spans="1:8" ht="21" hidden="1" customHeight="1">
      <c r="A456" s="12"/>
      <c r="B456" s="60" t="str">
        <f>DATA!A446</f>
        <v>SOFT BOX+ GRED</v>
      </c>
      <c r="C456" s="12"/>
      <c r="D456" s="71"/>
      <c r="E456" s="13"/>
      <c r="F456" s="13"/>
      <c r="G456" s="13"/>
      <c r="H456" s="14"/>
    </row>
    <row r="457" spans="1:8" ht="21" hidden="1" customHeight="1">
      <c r="A457" s="12"/>
      <c r="B457" s="60" t="str">
        <f>DATA!A447</f>
        <v xml:space="preserve">SOFT BOX+ GRED </v>
      </c>
      <c r="C457" s="12"/>
      <c r="D457" s="71"/>
      <c r="E457" s="13"/>
      <c r="F457" s="13"/>
      <c r="G457" s="13"/>
      <c r="H457" s="14"/>
    </row>
    <row r="458" spans="1:8" ht="21" hidden="1" customHeight="1">
      <c r="A458" s="12"/>
      <c r="B458" s="60" t="str">
        <f>DATA!A448</f>
        <v xml:space="preserve">SOFT BOX+ GRED  </v>
      </c>
      <c r="C458" s="12"/>
      <c r="D458" s="71"/>
      <c r="E458" s="13"/>
      <c r="F458" s="13"/>
      <c r="G458" s="13"/>
      <c r="H458" s="14"/>
    </row>
    <row r="459" spans="1:8" ht="21" hidden="1" customHeight="1">
      <c r="A459" s="12"/>
      <c r="B459" s="60" t="str">
        <f>DATA!A449</f>
        <v xml:space="preserve">SOFT BOX+ GRED  </v>
      </c>
      <c r="C459" s="12"/>
      <c r="D459" s="71"/>
      <c r="E459" s="13"/>
      <c r="F459" s="13"/>
      <c r="G459" s="13"/>
      <c r="H459" s="14"/>
    </row>
    <row r="460" spans="1:8" ht="21" hidden="1" customHeight="1">
      <c r="A460" s="12"/>
      <c r="B460" s="60" t="str">
        <f>DATA!A450</f>
        <v>Sony Burano</v>
      </c>
      <c r="C460" s="12"/>
      <c r="D460" s="71"/>
      <c r="E460" s="13"/>
      <c r="F460" s="13"/>
      <c r="G460" s="13"/>
      <c r="H460" s="14"/>
    </row>
    <row r="461" spans="1:8" ht="21" hidden="1" customHeight="1">
      <c r="A461" s="12"/>
      <c r="B461" s="60" t="str">
        <f>DATA!A451</f>
        <v>Sony FE 100-400mm f/4.5-5.6 GM OSS Lens</v>
      </c>
      <c r="C461" s="12"/>
      <c r="D461" s="71"/>
      <c r="E461" s="13"/>
      <c r="F461" s="13"/>
      <c r="G461" s="13"/>
      <c r="H461" s="14"/>
    </row>
    <row r="462" spans="1:8" ht="21" hidden="1" customHeight="1">
      <c r="A462" s="12"/>
      <c r="B462" s="60" t="str">
        <f>DATA!A452</f>
        <v>Sony FE 12-24mm f/2.8 GM Lens</v>
      </c>
      <c r="C462" s="12"/>
      <c r="D462" s="71"/>
      <c r="E462" s="13"/>
      <c r="F462" s="13"/>
      <c r="G462" s="13"/>
      <c r="H462" s="14"/>
    </row>
    <row r="463" spans="1:8" ht="21" hidden="1" customHeight="1">
      <c r="A463" s="12"/>
      <c r="B463" s="60" t="str">
        <f>DATA!A453</f>
        <v>Sony FE 135mm f/1.8 GM Lens</v>
      </c>
      <c r="C463" s="12"/>
      <c r="D463" s="71"/>
      <c r="E463" s="13"/>
      <c r="F463" s="13"/>
      <c r="G463" s="13"/>
      <c r="H463" s="14"/>
    </row>
    <row r="464" spans="1:8" ht="21" hidden="1" customHeight="1">
      <c r="A464" s="12"/>
      <c r="B464" s="60" t="str">
        <f>DATA!A454</f>
        <v>Sony FE 14mm f/1.8 GM Lens</v>
      </c>
      <c r="C464" s="12"/>
      <c r="D464" s="71"/>
      <c r="E464" s="13"/>
      <c r="F464" s="13"/>
      <c r="G464" s="13"/>
      <c r="H464" s="14"/>
    </row>
    <row r="465" spans="1:8" ht="21" hidden="1" customHeight="1">
      <c r="A465" s="12"/>
      <c r="B465" s="60" t="str">
        <f>DATA!A455</f>
        <v>Sony FE 16-35mm f/2.8 GM II Lens</v>
      </c>
      <c r="C465" s="12"/>
      <c r="D465" s="71"/>
      <c r="E465" s="13"/>
      <c r="F465" s="13"/>
      <c r="G465" s="13"/>
      <c r="H465" s="14"/>
    </row>
    <row r="466" spans="1:8" ht="21" hidden="1" customHeight="1">
      <c r="A466" s="12"/>
      <c r="B466" s="60" t="str">
        <f>DATA!A456</f>
        <v>Sony FE 200-600mm f/5.6-6.3 G OSS Lens with UV Filter Kit</v>
      </c>
      <c r="C466" s="12"/>
      <c r="D466" s="71"/>
      <c r="E466" s="13"/>
      <c r="F466" s="13"/>
      <c r="G466" s="13"/>
      <c r="H466" s="14"/>
    </row>
    <row r="467" spans="1:8" ht="21" hidden="1" customHeight="1">
      <c r="A467" s="12"/>
      <c r="B467" s="60" t="str">
        <f>DATA!A457</f>
        <v>Sony FE 20mm f/1.8 G Lens</v>
      </c>
      <c r="C467" s="12"/>
      <c r="D467" s="71"/>
      <c r="E467" s="13"/>
      <c r="F467" s="13"/>
      <c r="G467" s="13"/>
      <c r="H467" s="14"/>
    </row>
    <row r="468" spans="1:8" ht="21" hidden="1" customHeight="1">
      <c r="A468" s="12"/>
      <c r="B468" s="60" t="str">
        <f>DATA!A458</f>
        <v>Sony FE 24-105mm f/4 G OSS Lens</v>
      </c>
      <c r="C468" s="12"/>
      <c r="D468" s="71"/>
      <c r="E468" s="13"/>
      <c r="F468" s="13"/>
      <c r="G468" s="13"/>
      <c r="H468" s="14"/>
    </row>
    <row r="469" spans="1:8" ht="21" hidden="1" customHeight="1">
      <c r="A469" s="12"/>
      <c r="B469" s="60" t="str">
        <f>DATA!A459</f>
        <v>Sony FE 24-70mm f/2.8 GM II Lens</v>
      </c>
      <c r="C469" s="12"/>
      <c r="D469" s="71"/>
      <c r="E469" s="13"/>
      <c r="F469" s="13"/>
      <c r="G469" s="13"/>
      <c r="H469" s="14"/>
    </row>
    <row r="470" spans="1:8" ht="21" hidden="1" customHeight="1">
      <c r="A470" s="12"/>
      <c r="B470" s="60" t="str">
        <f>DATA!A460</f>
        <v>Sony FE 24mm f/1.4 GM Lens</v>
      </c>
      <c r="C470" s="12"/>
      <c r="D470" s="71"/>
      <c r="E470" s="13"/>
      <c r="F470" s="13"/>
      <c r="G470" s="13"/>
      <c r="H470" s="14"/>
    </row>
    <row r="471" spans="1:8" ht="21" hidden="1" customHeight="1">
      <c r="A471" s="12"/>
      <c r="B471" s="60" t="str">
        <f>DATA!A461</f>
        <v>Sony FE 35mm f/1.4 GM Lens</v>
      </c>
      <c r="C471" s="12"/>
      <c r="D471" s="71"/>
      <c r="E471" s="13"/>
      <c r="F471" s="13"/>
      <c r="G471" s="13"/>
      <c r="H471" s="14"/>
    </row>
    <row r="472" spans="1:8" ht="21" hidden="1" customHeight="1">
      <c r="A472" s="12"/>
      <c r="B472" s="60" t="str">
        <f>DATA!A462</f>
        <v>Sony FE 50mm f/1.2 GM Lens</v>
      </c>
      <c r="C472" s="12"/>
      <c r="D472" s="71"/>
      <c r="E472" s="13"/>
      <c r="F472" s="13"/>
      <c r="G472" s="13"/>
      <c r="H472" s="14"/>
    </row>
    <row r="473" spans="1:8" ht="21" hidden="1" customHeight="1">
      <c r="A473" s="12"/>
      <c r="B473" s="60" t="str">
        <f>DATA!A463</f>
        <v>Sony FE 70-200mm f/2.8 GM OSS II</v>
      </c>
      <c r="C473" s="12"/>
      <c r="D473" s="71"/>
      <c r="E473" s="13"/>
      <c r="F473" s="13"/>
      <c r="G473" s="13"/>
      <c r="H473" s="14"/>
    </row>
    <row r="474" spans="1:8" ht="21" hidden="1" customHeight="1">
      <c r="A474" s="12"/>
      <c r="B474" s="60" t="str">
        <f>DATA!A464</f>
        <v>Sony FE 70-200mm f/4 Macro G OSS II Lens</v>
      </c>
      <c r="C474" s="12"/>
      <c r="D474" s="71"/>
      <c r="E474" s="13"/>
      <c r="F474" s="13"/>
      <c r="G474" s="13"/>
      <c r="H474" s="14"/>
    </row>
    <row r="475" spans="1:8" ht="21" hidden="1" customHeight="1">
      <c r="A475" s="12"/>
      <c r="B475" s="60" t="str">
        <f>DATA!A465</f>
        <v>Sony FE 85mm f/1.4 GM Lens</v>
      </c>
      <c r="C475" s="12"/>
      <c r="D475" s="71"/>
      <c r="E475" s="13"/>
      <c r="F475" s="13"/>
      <c r="G475" s="13"/>
      <c r="H475" s="14"/>
    </row>
    <row r="476" spans="1:8" ht="21" hidden="1" customHeight="1">
      <c r="A476" s="12"/>
      <c r="B476" s="60" t="str">
        <f>DATA!A466</f>
        <v>Sony FE 90mm f/2.8 Macro G OSS</v>
      </c>
      <c r="C476" s="12"/>
      <c r="D476" s="71"/>
      <c r="E476" s="13"/>
      <c r="F476" s="13"/>
      <c r="G476" s="13"/>
      <c r="H476" s="14"/>
    </row>
    <row r="477" spans="1:8" ht="21" hidden="1" customHeight="1">
      <c r="A477" s="12"/>
      <c r="B477" s="60" t="str">
        <f>DATA!A467</f>
        <v>Sony FX3</v>
      </c>
      <c r="C477" s="12"/>
      <c r="D477" s="71"/>
      <c r="E477" s="13"/>
      <c r="F477" s="13"/>
      <c r="G477" s="13"/>
      <c r="H477" s="14"/>
    </row>
    <row r="478" spans="1:8" ht="21" hidden="1" customHeight="1">
      <c r="A478" s="12"/>
      <c r="B478" s="60" t="str">
        <f>DATA!A468</f>
        <v>Sony FX6</v>
      </c>
      <c r="C478" s="12"/>
      <c r="D478" s="71"/>
      <c r="E478" s="13"/>
      <c r="F478" s="13"/>
      <c r="G478" s="13"/>
      <c r="H478" s="14"/>
    </row>
    <row r="479" spans="1:8" ht="21" hidden="1" customHeight="1">
      <c r="A479" s="12"/>
      <c r="B479" s="60" t="str">
        <f>DATA!A469</f>
        <v xml:space="preserve">Sony FX9 </v>
      </c>
      <c r="C479" s="12"/>
      <c r="D479" s="71"/>
      <c r="E479" s="13"/>
      <c r="F479" s="13"/>
      <c r="G479" s="13"/>
      <c r="H479" s="14"/>
    </row>
    <row r="480" spans="1:8" ht="21" hidden="1" customHeight="1">
      <c r="A480" s="12"/>
      <c r="B480" s="60" t="str">
        <f>DATA!A470</f>
        <v>Sony PTZ With Remote Control</v>
      </c>
      <c r="C480" s="12"/>
      <c r="D480" s="71"/>
      <c r="E480" s="13"/>
      <c r="F480" s="13"/>
      <c r="G480" s="13"/>
      <c r="H480" s="14"/>
    </row>
    <row r="481" spans="1:8" ht="21" hidden="1" customHeight="1">
      <c r="A481" s="12"/>
      <c r="B481" s="60" t="str">
        <f>DATA!A471</f>
        <v>Sony Sonnar T* FE 55mm f/1.8 ZA Lens</v>
      </c>
      <c r="C481" s="12"/>
      <c r="D481" s="71"/>
      <c r="E481" s="13"/>
      <c r="F481" s="13"/>
      <c r="G481" s="13"/>
      <c r="H481" s="14"/>
    </row>
    <row r="482" spans="1:8" ht="21" hidden="1" customHeight="1">
      <c r="A482" s="12"/>
      <c r="B482" s="60" t="str">
        <f>DATA!A472</f>
        <v>Sony Venice 2</v>
      </c>
      <c r="C482" s="12"/>
      <c r="D482" s="71"/>
      <c r="E482" s="13"/>
      <c r="F482" s="13"/>
      <c r="G482" s="13"/>
      <c r="H482" s="14"/>
    </row>
    <row r="483" spans="1:8" ht="21" hidden="1" customHeight="1">
      <c r="A483" s="12"/>
      <c r="B483" s="60" t="str">
        <f>DATA!A473</f>
        <v>Sound Designer</v>
      </c>
      <c r="C483" s="12"/>
      <c r="D483" s="71"/>
      <c r="E483" s="13"/>
      <c r="F483" s="13"/>
      <c r="G483" s="13"/>
      <c r="H483" s="14"/>
    </row>
    <row r="484" spans="1:8" ht="21" hidden="1" customHeight="1">
      <c r="A484" s="12"/>
      <c r="B484" s="60" t="str">
        <f>DATA!A474</f>
        <v>Sound Director</v>
      </c>
      <c r="C484" s="12"/>
      <c r="D484" s="71"/>
      <c r="E484" s="13"/>
      <c r="F484" s="13"/>
      <c r="G484" s="13"/>
      <c r="H484" s="14"/>
    </row>
    <row r="485" spans="1:8" ht="21" hidden="1" customHeight="1">
      <c r="A485" s="12"/>
      <c r="B485" s="60" t="str">
        <f>DATA!A475</f>
        <v>Sound Engineer</v>
      </c>
      <c r="C485" s="12"/>
      <c r="D485" s="71"/>
      <c r="E485" s="13"/>
      <c r="F485" s="13"/>
      <c r="G485" s="13"/>
      <c r="H485" s="14"/>
    </row>
    <row r="486" spans="1:8" ht="21" hidden="1" customHeight="1">
      <c r="A486" s="12"/>
      <c r="B486" s="60" t="str">
        <f>DATA!A476</f>
        <v>Sound Engineer (1,500 with sound kit)</v>
      </c>
      <c r="C486" s="12"/>
      <c r="D486" s="71"/>
      <c r="E486" s="13"/>
      <c r="F486" s="13"/>
      <c r="G486" s="13"/>
      <c r="H486" s="14"/>
    </row>
    <row r="487" spans="1:8" ht="21" hidden="1" customHeight="1">
      <c r="A487" s="12"/>
      <c r="B487" s="60" t="str">
        <f>DATA!A477</f>
        <v>Sound Kit</v>
      </c>
      <c r="C487" s="12"/>
      <c r="D487" s="71"/>
      <c r="E487" s="13"/>
      <c r="F487" s="13"/>
      <c r="G487" s="13"/>
      <c r="H487" s="14"/>
    </row>
    <row r="488" spans="1:8" ht="21" hidden="1" customHeight="1">
      <c r="A488" s="12"/>
      <c r="B488" s="60" t="str">
        <f>DATA!A478</f>
        <v>Sound Studio (Per Hour)</v>
      </c>
      <c r="C488" s="12"/>
      <c r="D488" s="71"/>
      <c r="E488" s="13"/>
      <c r="F488" s="13"/>
      <c r="G488" s="13"/>
      <c r="H488" s="14"/>
    </row>
    <row r="489" spans="1:8" ht="21" hidden="1" customHeight="1">
      <c r="A489" s="12"/>
      <c r="B489" s="60" t="str">
        <f>DATA!A479</f>
        <v>Space Light 6000W HMI</v>
      </c>
      <c r="C489" s="12"/>
      <c r="D489" s="71"/>
      <c r="E489" s="13"/>
      <c r="F489" s="13"/>
      <c r="G489" s="13"/>
      <c r="H489" s="14"/>
    </row>
    <row r="490" spans="1:8" ht="21" hidden="1" customHeight="1">
      <c r="A490" s="12"/>
      <c r="B490" s="60" t="str">
        <f>DATA!A480</f>
        <v>Spark / Light Technician</v>
      </c>
      <c r="C490" s="12"/>
      <c r="D490" s="71"/>
      <c r="E490" s="13"/>
      <c r="F490" s="13"/>
      <c r="G490" s="13"/>
      <c r="H490" s="14"/>
    </row>
    <row r="491" spans="1:8" ht="21" hidden="1" customHeight="1">
      <c r="A491" s="12"/>
      <c r="B491" s="60" t="str">
        <f>DATA!A481</f>
        <v>Special Effects Artist</v>
      </c>
      <c r="C491" s="12"/>
      <c r="D491" s="71"/>
      <c r="E491" s="13"/>
      <c r="F491" s="13"/>
      <c r="G491" s="13"/>
      <c r="H491" s="14"/>
    </row>
    <row r="492" spans="1:8" ht="21" hidden="1" customHeight="1">
      <c r="A492" s="12"/>
      <c r="B492" s="60" t="str">
        <f>DATA!A482</f>
        <v>Steadicam Operator</v>
      </c>
      <c r="C492" s="12"/>
      <c r="D492" s="71"/>
      <c r="E492" s="13"/>
      <c r="F492" s="13"/>
      <c r="G492" s="13"/>
      <c r="H492" s="14"/>
    </row>
    <row r="493" spans="1:8" ht="21" hidden="1" customHeight="1">
      <c r="A493" s="12"/>
      <c r="B493" s="60" t="str">
        <f>DATA!A483</f>
        <v>Story Producer</v>
      </c>
      <c r="C493" s="12"/>
      <c r="D493" s="71"/>
      <c r="E493" s="13"/>
      <c r="F493" s="13"/>
      <c r="G493" s="13"/>
      <c r="H493" s="14"/>
    </row>
    <row r="494" spans="1:8" ht="21" hidden="1" customHeight="1">
      <c r="A494" s="12"/>
      <c r="B494" s="60" t="str">
        <f>DATA!A484</f>
        <v>Storyboard Artist(per frame)</v>
      </c>
      <c r="C494" s="12"/>
      <c r="D494" s="71"/>
      <c r="E494" s="13"/>
      <c r="F494" s="13"/>
      <c r="G494" s="13"/>
      <c r="H494" s="14"/>
    </row>
    <row r="495" spans="1:8" ht="21" hidden="1" customHeight="1">
      <c r="A495" s="12"/>
      <c r="B495" s="60" t="str">
        <f>DATA!A485</f>
        <v>Strand 10K T. Halogen fresnel</v>
      </c>
      <c r="C495" s="12"/>
      <c r="D495" s="71"/>
      <c r="E495" s="13"/>
      <c r="F495" s="13"/>
      <c r="G495" s="13"/>
      <c r="H495" s="14"/>
    </row>
    <row r="496" spans="1:8" ht="21" hidden="1" customHeight="1">
      <c r="A496" s="12"/>
      <c r="B496" s="60" t="str">
        <f>DATA!A486</f>
        <v>Strand 5K T. Halogen fresnel</v>
      </c>
      <c r="C496" s="12"/>
      <c r="D496" s="71"/>
      <c r="E496" s="13"/>
      <c r="F496" s="13"/>
      <c r="G496" s="13"/>
      <c r="H496" s="14"/>
    </row>
    <row r="497" spans="1:8" ht="21" hidden="1" customHeight="1">
      <c r="A497" s="12"/>
      <c r="B497" s="60" t="str">
        <f>DATA!A487</f>
        <v xml:space="preserve">Strobe Light </v>
      </c>
      <c r="C497" s="12"/>
      <c r="D497" s="71"/>
      <c r="E497" s="13"/>
      <c r="F497" s="13"/>
      <c r="G497" s="13"/>
      <c r="H497" s="14"/>
    </row>
    <row r="498" spans="1:8" ht="21" hidden="1" customHeight="1">
      <c r="A498" s="12"/>
      <c r="B498" s="60" t="str">
        <f>DATA!A488</f>
        <v>Studio - Size (10X10)</v>
      </c>
      <c r="C498" s="12"/>
      <c r="D498" s="71"/>
      <c r="E498" s="13"/>
      <c r="F498" s="13"/>
      <c r="G498" s="13"/>
      <c r="H498" s="14"/>
    </row>
    <row r="499" spans="1:8" ht="21" hidden="1" customHeight="1">
      <c r="A499" s="12"/>
      <c r="B499" s="60" t="str">
        <f>DATA!A489</f>
        <v>Studio - Size (10X7)</v>
      </c>
      <c r="C499" s="12"/>
      <c r="D499" s="71"/>
      <c r="E499" s="13"/>
      <c r="F499" s="13"/>
      <c r="G499" s="13"/>
      <c r="H499" s="14"/>
    </row>
    <row r="500" spans="1:8" ht="21" hidden="1" customHeight="1">
      <c r="A500" s="12"/>
      <c r="B500" s="60" t="str">
        <f>DATA!A490</f>
        <v>Studio - Size (5x4)</v>
      </c>
      <c r="C500" s="12"/>
      <c r="D500" s="71"/>
      <c r="E500" s="13"/>
      <c r="F500" s="13"/>
      <c r="G500" s="13"/>
      <c r="H500" s="14"/>
    </row>
    <row r="501" spans="1:8" ht="21" hidden="1" customHeight="1">
      <c r="A501" s="12"/>
      <c r="B501" s="60" t="str">
        <f>DATA!A491</f>
        <v>Studio Finaliser</v>
      </c>
      <c r="C501" s="12"/>
      <c r="D501" s="71"/>
      <c r="E501" s="13"/>
      <c r="F501" s="13"/>
      <c r="G501" s="13"/>
      <c r="H501" s="14"/>
    </row>
    <row r="502" spans="1:8" ht="21" hidden="1" customHeight="1">
      <c r="A502" s="12"/>
      <c r="B502" s="60" t="str">
        <f>DATA!A492</f>
        <v xml:space="preserve">Sun Bounce Swatter </v>
      </c>
      <c r="C502" s="12"/>
      <c r="D502" s="71"/>
      <c r="E502" s="13"/>
      <c r="F502" s="13"/>
      <c r="G502" s="13"/>
      <c r="H502" s="14"/>
    </row>
    <row r="503" spans="1:8" ht="21" hidden="1" customHeight="1">
      <c r="A503" s="12"/>
      <c r="B503" s="60" t="str">
        <f>DATA!A493</f>
        <v xml:space="preserve">Sun Swatter Start Kit </v>
      </c>
      <c r="C503" s="12"/>
      <c r="D503" s="71"/>
      <c r="E503" s="13"/>
      <c r="F503" s="13"/>
      <c r="G503" s="13"/>
      <c r="H503" s="14"/>
    </row>
    <row r="504" spans="1:8" ht="21" hidden="1" customHeight="1">
      <c r="A504" s="12"/>
      <c r="B504" s="60" t="str">
        <f>DATA!A494</f>
        <v xml:space="preserve">SWIT 450 </v>
      </c>
      <c r="C504" s="12"/>
      <c r="D504" s="71"/>
      <c r="E504" s="13"/>
      <c r="F504" s="13"/>
      <c r="G504" s="13"/>
      <c r="H504" s="14"/>
    </row>
    <row r="505" spans="1:8" ht="21" hidden="1" customHeight="1">
      <c r="A505" s="12"/>
      <c r="B505" s="60" t="str">
        <f>DATA!A495</f>
        <v xml:space="preserve">SWIT Flow 2000 </v>
      </c>
      <c r="C505" s="12"/>
      <c r="D505" s="71"/>
      <c r="E505" s="13"/>
      <c r="F505" s="13"/>
      <c r="G505" s="13"/>
      <c r="H505" s="14"/>
    </row>
    <row r="506" spans="1:8" ht="21" hidden="1" customHeight="1">
      <c r="A506" s="12"/>
      <c r="B506" s="60" t="str">
        <f>DATA!A496</f>
        <v>SWIT monitor 9"</v>
      </c>
      <c r="C506" s="12"/>
      <c r="D506" s="71"/>
      <c r="E506" s="13"/>
      <c r="F506" s="13"/>
      <c r="G506" s="13"/>
      <c r="H506" s="14"/>
    </row>
    <row r="507" spans="1:8" ht="21" hidden="1" customHeight="1">
      <c r="A507" s="12"/>
      <c r="B507" s="60" t="str">
        <f>DATA!A497</f>
        <v>SWIT Roll Light Midium</v>
      </c>
      <c r="C507" s="12"/>
      <c r="D507" s="71"/>
      <c r="E507" s="13"/>
      <c r="F507" s="13"/>
      <c r="G507" s="13"/>
      <c r="H507" s="14"/>
    </row>
    <row r="508" spans="1:8" ht="21" hidden="1" customHeight="1">
      <c r="A508" s="12"/>
      <c r="B508" s="60" t="str">
        <f>DATA!A498</f>
        <v>SWIT Roll Light Small</v>
      </c>
      <c r="C508" s="12"/>
      <c r="D508" s="71"/>
      <c r="E508" s="13"/>
      <c r="F508" s="13"/>
      <c r="G508" s="13"/>
      <c r="H508" s="14"/>
    </row>
    <row r="509" spans="1:8" ht="21" hidden="1" customHeight="1">
      <c r="A509" s="12"/>
      <c r="B509" s="60" t="str">
        <f>DATA!A499</f>
        <v>Teleprompter</v>
      </c>
      <c r="C509" s="12"/>
      <c r="D509" s="71"/>
      <c r="E509" s="13"/>
      <c r="F509" s="13"/>
      <c r="G509" s="13"/>
      <c r="H509" s="14"/>
    </row>
    <row r="510" spans="1:8" ht="21" hidden="1" customHeight="1">
      <c r="A510" s="12"/>
      <c r="B510" s="60" t="str">
        <f>DATA!A500</f>
        <v>Teleprompter (works with iPad or Tablet)</v>
      </c>
      <c r="C510" s="12"/>
      <c r="D510" s="71"/>
      <c r="E510" s="13"/>
      <c r="F510" s="13"/>
      <c r="G510" s="13"/>
      <c r="H510" s="14"/>
    </row>
    <row r="511" spans="1:8" ht="21" hidden="1" customHeight="1">
      <c r="A511" s="12"/>
      <c r="B511" s="60" t="str">
        <f>DATA!A501</f>
        <v>Teradek Bolt 4K 1500 12G</v>
      </c>
      <c r="C511" s="12"/>
      <c r="D511" s="71"/>
      <c r="E511" s="13"/>
      <c r="F511" s="13"/>
      <c r="G511" s="13"/>
      <c r="H511" s="14"/>
    </row>
    <row r="512" spans="1:8" ht="21" hidden="1" customHeight="1">
      <c r="A512" s="12"/>
      <c r="B512" s="60" t="str">
        <f>DATA!A502</f>
        <v xml:space="preserve">Teradek Bolt 4K 750 </v>
      </c>
      <c r="C512" s="12"/>
      <c r="D512" s="71"/>
      <c r="E512" s="13"/>
      <c r="F512" s="13"/>
      <c r="G512" s="13"/>
      <c r="H512" s="14"/>
    </row>
    <row r="513" spans="1:8" ht="21" hidden="1" customHeight="1">
      <c r="A513" s="12"/>
      <c r="B513" s="60" t="str">
        <f>DATA!A503</f>
        <v>Tiffen 4 x 5.65" Black Pro-Mist 1 Filter</v>
      </c>
      <c r="C513" s="12"/>
      <c r="D513" s="71"/>
      <c r="E513" s="13"/>
      <c r="F513" s="13"/>
      <c r="G513" s="13"/>
      <c r="H513" s="14"/>
    </row>
    <row r="514" spans="1:8" ht="21" hidden="1" customHeight="1">
      <c r="A514" s="12"/>
      <c r="B514" s="60" t="str">
        <f>DATA!A504</f>
        <v>Tiffen 4 x 5.65" Black Pro-Mist 1/2 Filter</v>
      </c>
      <c r="C514" s="12"/>
      <c r="D514" s="71"/>
      <c r="E514" s="13"/>
      <c r="F514" s="13"/>
      <c r="G514" s="13"/>
      <c r="H514" s="14"/>
    </row>
    <row r="515" spans="1:8" ht="21" hidden="1" customHeight="1">
      <c r="A515" s="12"/>
      <c r="B515" s="60" t="str">
        <f>DATA!A505</f>
        <v>Tiffen 4 x 5.65" Black Pro-Mist 1/4 Filter</v>
      </c>
      <c r="C515" s="12"/>
      <c r="D515" s="71"/>
      <c r="E515" s="13"/>
      <c r="F515" s="13"/>
      <c r="G515" s="13"/>
      <c r="H515" s="14"/>
    </row>
    <row r="516" spans="1:8" ht="21" hidden="1" customHeight="1">
      <c r="A516" s="12"/>
      <c r="B516" s="60" t="str">
        <f>DATA!A506</f>
        <v>Tiffen 4 x 5.65" Black Pro-Mist 1/8 Filter</v>
      </c>
      <c r="C516" s="12"/>
      <c r="D516" s="71"/>
      <c r="E516" s="13"/>
      <c r="F516" s="13"/>
      <c r="G516" s="13"/>
      <c r="H516" s="14"/>
    </row>
    <row r="517" spans="1:8" ht="21" hidden="1" customHeight="1">
      <c r="A517" s="12"/>
      <c r="B517" s="60" t="str">
        <f>DATA!A507</f>
        <v>Tiffen 4 x 5.65" Black Soft/FX 1 Density Filter</v>
      </c>
      <c r="C517" s="12"/>
      <c r="D517" s="71"/>
      <c r="E517" s="13"/>
      <c r="F517" s="13"/>
      <c r="G517" s="13"/>
      <c r="H517" s="14"/>
    </row>
    <row r="518" spans="1:8" ht="21" hidden="1" customHeight="1">
      <c r="A518" s="12"/>
      <c r="B518" s="60" t="str">
        <f>DATA!A508</f>
        <v>Tiffen 4 x 5.65" Black Soft/FX 1/2 Density Filter</v>
      </c>
      <c r="C518" s="12"/>
      <c r="D518" s="71"/>
      <c r="E518" s="13"/>
      <c r="F518" s="13"/>
      <c r="G518" s="13"/>
      <c r="H518" s="14"/>
    </row>
    <row r="519" spans="1:8" ht="21" hidden="1" customHeight="1">
      <c r="A519" s="12"/>
      <c r="B519" s="60" t="str">
        <f>DATA!A509</f>
        <v>Tiffen 4 x 5.65" Black Soft/FX 1/8 Density Filter</v>
      </c>
      <c r="C519" s="12"/>
      <c r="D519" s="71"/>
      <c r="E519" s="13"/>
      <c r="F519" s="13"/>
      <c r="G519" s="13"/>
      <c r="H519" s="14"/>
    </row>
    <row r="520" spans="1:8" ht="21" hidden="1" customHeight="1">
      <c r="A520" s="12"/>
      <c r="B520" s="60" t="str">
        <f>DATA!A510</f>
        <v>Tiffen 4 x 5.65" Circular Polarizer Filter for Tiffen Multi Rota Tray</v>
      </c>
      <c r="C520" s="12"/>
      <c r="D520" s="71"/>
      <c r="E520" s="13"/>
      <c r="F520" s="13"/>
      <c r="G520" s="13"/>
      <c r="H520" s="14"/>
    </row>
    <row r="521" spans="1:8" ht="21" hidden="1" customHeight="1">
      <c r="A521" s="12"/>
      <c r="B521" s="60" t="str">
        <f>DATA!A511</f>
        <v>Tiffen 4 x 5.65" Circular Polarizer Filter for Tiffen Multi Rota Tray</v>
      </c>
      <c r="C521" s="12"/>
      <c r="D521" s="71"/>
      <c r="E521" s="13"/>
      <c r="F521" s="13"/>
      <c r="G521" s="13"/>
      <c r="H521" s="14"/>
    </row>
    <row r="522" spans="1:8" ht="21" hidden="1" customHeight="1">
      <c r="A522" s="12"/>
      <c r="B522" s="60" t="str">
        <f>DATA!A512</f>
        <v>Tiffen 4 x 5.65" Clear Standard Coated Filter</v>
      </c>
      <c r="C522" s="12"/>
      <c r="D522" s="71"/>
      <c r="E522" s="13"/>
      <c r="F522" s="13"/>
      <c r="G522" s="13"/>
      <c r="H522" s="14"/>
    </row>
    <row r="523" spans="1:8" ht="21" hidden="1" customHeight="1">
      <c r="A523" s="12"/>
      <c r="B523" s="60" t="str">
        <f>DATA!A513</f>
        <v>Tiffen 4 x 5.65" Glimmerglass 1/2 Filter</v>
      </c>
      <c r="C523" s="12"/>
      <c r="D523" s="71"/>
      <c r="E523" s="13"/>
      <c r="F523" s="13"/>
      <c r="G523" s="13"/>
      <c r="H523" s="14"/>
    </row>
    <row r="524" spans="1:8" ht="21" hidden="1" customHeight="1">
      <c r="A524" s="12"/>
      <c r="B524" s="60" t="str">
        <f>DATA!A514</f>
        <v>Tiffen 4 x 5.65" Glimmerglass 1/4 Filter</v>
      </c>
      <c r="C524" s="12"/>
      <c r="D524" s="71"/>
      <c r="E524" s="13"/>
      <c r="F524" s="13"/>
      <c r="G524" s="13"/>
      <c r="H524" s="14"/>
    </row>
    <row r="525" spans="1:8" ht="21" hidden="1" customHeight="1">
      <c r="A525" s="12"/>
      <c r="B525" s="60" t="str">
        <f>DATA!A515</f>
        <v>Tiffen 4 x 5.65" Glimmerglass 1/8 Filter</v>
      </c>
      <c r="C525" s="12"/>
      <c r="D525" s="71"/>
      <c r="E525" s="13"/>
      <c r="F525" s="13"/>
      <c r="G525" s="13"/>
      <c r="H525" s="14"/>
    </row>
    <row r="526" spans="1:8" ht="21" hidden="1" customHeight="1">
      <c r="A526" s="12"/>
      <c r="B526" s="60" t="str">
        <f>DATA!A516</f>
        <v>Tiffen 4 x 5.65" Glimmerglass 2 Filter</v>
      </c>
      <c r="C526" s="12"/>
      <c r="D526" s="71"/>
      <c r="E526" s="13"/>
      <c r="F526" s="13"/>
      <c r="G526" s="13"/>
      <c r="H526" s="14"/>
    </row>
    <row r="527" spans="1:8" ht="21" hidden="1" customHeight="1">
      <c r="A527" s="12"/>
      <c r="B527" s="60" t="str">
        <f>DATA!A517</f>
        <v>Tiffen 4 x 5.65" Glimmerglass 3 Filter</v>
      </c>
      <c r="C527" s="12"/>
      <c r="D527" s="71"/>
      <c r="E527" s="13"/>
      <c r="F527" s="13"/>
      <c r="G527" s="13"/>
      <c r="H527" s="14"/>
    </row>
    <row r="528" spans="1:8" ht="21" hidden="1" customHeight="1">
      <c r="A528" s="12"/>
      <c r="B528" s="60" t="str">
        <f>DATA!A518</f>
        <v>Tiffen 4 x 5.65" IRND 0.3 Digital Diffusion/FX 3 Filter</v>
      </c>
      <c r="C528" s="12"/>
      <c r="D528" s="71"/>
      <c r="E528" s="13"/>
      <c r="F528" s="13"/>
      <c r="G528" s="13"/>
      <c r="H528" s="14"/>
    </row>
    <row r="529" spans="1:8" ht="21" hidden="1" customHeight="1">
      <c r="A529" s="12"/>
      <c r="B529" s="60" t="str">
        <f>DATA!A519</f>
        <v>Tiffen 4 x 5.65" IRND 0.6 Digital Diffusion/FX 3 Filter</v>
      </c>
      <c r="C529" s="12"/>
      <c r="D529" s="71"/>
      <c r="E529" s="13"/>
      <c r="F529" s="13"/>
      <c r="G529" s="13"/>
      <c r="H529" s="14"/>
    </row>
    <row r="530" spans="1:8" ht="21" hidden="1" customHeight="1">
      <c r="A530" s="12"/>
      <c r="B530" s="60" t="str">
        <f>DATA!A520</f>
        <v>Tiffen 4 x 5.65" IRND 0.9 Digital Diffusion/FX 3 Filter</v>
      </c>
      <c r="C530" s="12"/>
      <c r="D530" s="71"/>
      <c r="E530" s="13"/>
      <c r="F530" s="13"/>
      <c r="G530" s="13"/>
      <c r="H530" s="14"/>
    </row>
    <row r="531" spans="1:8" ht="21" hidden="1" customHeight="1">
      <c r="A531" s="12"/>
      <c r="B531" s="60" t="str">
        <f>DATA!A521</f>
        <v>Tiffen 4 x 5.65" IRND 1.2 Digital Diffusion/FX 3 Filter</v>
      </c>
      <c r="C531" s="12"/>
      <c r="D531" s="71"/>
      <c r="E531" s="13"/>
      <c r="F531" s="13"/>
      <c r="G531" s="13"/>
      <c r="H531" s="14"/>
    </row>
    <row r="532" spans="1:8" ht="21" hidden="1" customHeight="1">
      <c r="A532" s="12"/>
      <c r="B532" s="60" t="str">
        <f>DATA!A522</f>
        <v>Tiffen 4 x 5.65" Linear Polarizer Filter</v>
      </c>
      <c r="C532" s="12"/>
      <c r="D532" s="71"/>
      <c r="E532" s="13"/>
      <c r="F532" s="13"/>
      <c r="G532" s="13"/>
      <c r="H532" s="14"/>
    </row>
    <row r="533" spans="1:8" ht="21" hidden="1" customHeight="1">
      <c r="A533" s="12"/>
      <c r="B533" s="60" t="str">
        <f>DATA!A523</f>
        <v>Tiffen 4 x 5.65" ND 0.3 Filter (1-Stop)</v>
      </c>
      <c r="C533" s="12"/>
      <c r="D533" s="71"/>
      <c r="E533" s="13"/>
      <c r="F533" s="13"/>
      <c r="G533" s="13"/>
      <c r="H533" s="14"/>
    </row>
    <row r="534" spans="1:8" ht="21" hidden="1" customHeight="1">
      <c r="A534" s="12"/>
      <c r="B534" s="60" t="str">
        <f>DATA!A524</f>
        <v>Tiffen 4 x 5.65" ND 0.6 Filter (2-Stop)</v>
      </c>
      <c r="C534" s="12"/>
      <c r="D534" s="71"/>
      <c r="E534" s="13"/>
      <c r="F534" s="13"/>
      <c r="G534" s="13"/>
      <c r="H534" s="14"/>
    </row>
    <row r="535" spans="1:8" ht="21" hidden="1" customHeight="1">
      <c r="A535" s="12"/>
      <c r="B535" s="60" t="str">
        <f>DATA!A525</f>
        <v>Tiffen 4 x 5.65" ND 0.9 Filter (3-Stop)</v>
      </c>
      <c r="C535" s="12"/>
      <c r="D535" s="71"/>
      <c r="E535" s="13"/>
      <c r="F535" s="13"/>
      <c r="G535" s="13"/>
      <c r="H535" s="14"/>
    </row>
    <row r="536" spans="1:8" ht="21" hidden="1" customHeight="1">
      <c r="A536" s="12"/>
      <c r="B536" s="60" t="str">
        <f>DATA!A526</f>
        <v>Tiffen 4 x 5.65" Soft Edge Graduated 0.3 ND Filter (Horizontal Orientation)</v>
      </c>
      <c r="C536" s="12"/>
      <c r="D536" s="71"/>
      <c r="E536" s="13"/>
      <c r="F536" s="13"/>
      <c r="G536" s="13"/>
      <c r="H536" s="14"/>
    </row>
    <row r="537" spans="1:8" ht="21" hidden="1" customHeight="1">
      <c r="A537" s="12"/>
      <c r="B537" s="60" t="str">
        <f>DATA!A527</f>
        <v>Tiffen 4 x 5.65" Soft Edge Graduated 0.3 ND Filter (Vertical Orientation)</v>
      </c>
      <c r="C537" s="12"/>
      <c r="D537" s="71"/>
      <c r="E537" s="13"/>
      <c r="F537" s="13"/>
      <c r="G537" s="13"/>
      <c r="H537" s="14"/>
    </row>
    <row r="538" spans="1:8" ht="21" hidden="1" customHeight="1">
      <c r="A538" s="12"/>
      <c r="B538" s="60" t="str">
        <f>DATA!A528</f>
        <v>Tiffen 4 x 5.65" Soft Edge Graduated 0.6 ND Filter (Horizontal Orientation)</v>
      </c>
      <c r="C538" s="12"/>
      <c r="D538" s="71"/>
      <c r="E538" s="13"/>
      <c r="F538" s="13"/>
      <c r="G538" s="13"/>
      <c r="H538" s="14"/>
    </row>
    <row r="539" spans="1:8" ht="21" hidden="1" customHeight="1">
      <c r="A539" s="12"/>
      <c r="B539" s="60" t="str">
        <f>DATA!A529</f>
        <v>Tiffen 4 x 5.65" Soft Edge Graduated 0.6 ND Filter (Vertical Orientation)</v>
      </c>
      <c r="C539" s="12"/>
      <c r="D539" s="71"/>
      <c r="E539" s="13"/>
      <c r="F539" s="13"/>
      <c r="G539" s="13"/>
      <c r="H539" s="14"/>
    </row>
    <row r="540" spans="1:8" ht="21" hidden="1" customHeight="1">
      <c r="A540" s="12"/>
      <c r="B540" s="60" t="str">
        <f>DATA!A530</f>
        <v>Tiffen 4 x 5.65" Soft Edge Graduated 0.9 ND Filter (Horizontal Orientation)</v>
      </c>
      <c r="C540" s="12"/>
      <c r="D540" s="71"/>
      <c r="E540" s="13"/>
      <c r="F540" s="13"/>
      <c r="G540" s="13"/>
      <c r="H540" s="14"/>
    </row>
    <row r="541" spans="1:8" ht="21" hidden="1" customHeight="1">
      <c r="A541" s="12"/>
      <c r="B541" s="60" t="str">
        <f>DATA!A531</f>
        <v>Tiffen 4 x 5.65" Soft Edge Graduated 0.9 ND Filter (Vertical Orientation)</v>
      </c>
      <c r="C541" s="12"/>
      <c r="D541" s="71"/>
      <c r="E541" s="13"/>
      <c r="F541" s="13"/>
      <c r="G541" s="13"/>
      <c r="H541" s="14"/>
    </row>
    <row r="542" spans="1:8" ht="21" hidden="1" customHeight="1">
      <c r="A542" s="12"/>
      <c r="B542" s="60" t="str">
        <f>DATA!A532</f>
        <v>Tiffen 4 x 5.65" T1 IR Filter</v>
      </c>
      <c r="C542" s="12"/>
      <c r="D542" s="71"/>
      <c r="E542" s="13"/>
      <c r="F542" s="13"/>
      <c r="G542" s="13"/>
      <c r="H542" s="14"/>
    </row>
    <row r="543" spans="1:8" ht="21" hidden="1" customHeight="1">
      <c r="A543" s="12"/>
      <c r="B543" s="60" t="str">
        <f>DATA!A533</f>
        <v>Tiffen 4 x 5.65" Warm Soft/FX 1/4 Density Filter</v>
      </c>
      <c r="C543" s="12"/>
      <c r="D543" s="71"/>
      <c r="E543" s="13"/>
      <c r="F543" s="13"/>
      <c r="G543" s="13"/>
      <c r="H543" s="14"/>
    </row>
    <row r="544" spans="1:8" ht="21" hidden="1" customHeight="1">
      <c r="A544" s="12"/>
      <c r="B544" s="60" t="str">
        <f>DATA!A534</f>
        <v>Tiffen 4 x 5.65" Water White ND 1.2 Filter (4-Stop)</v>
      </c>
      <c r="C544" s="12"/>
      <c r="D544" s="71"/>
      <c r="E544" s="13"/>
      <c r="F544" s="13"/>
      <c r="G544" s="13"/>
      <c r="H544" s="14"/>
    </row>
    <row r="545" spans="1:8" ht="21" hidden="1" customHeight="1">
      <c r="A545" s="12"/>
      <c r="B545" s="60" t="str">
        <f>DATA!A535</f>
        <v>Tiffen 4 x 5.65" Water White ND 1.5 Filter (5-Stop)</v>
      </c>
      <c r="C545" s="12"/>
      <c r="D545" s="71"/>
      <c r="E545" s="13"/>
      <c r="F545" s="13"/>
      <c r="G545" s="13"/>
      <c r="H545" s="14"/>
    </row>
    <row r="546" spans="1:8" ht="21" hidden="1" customHeight="1">
      <c r="A546" s="12"/>
      <c r="B546" s="60" t="str">
        <f>DATA!A536</f>
        <v>Tiffen 4 x 5.65" Water White ND 1.8 Filter (6-Stop)</v>
      </c>
      <c r="C546" s="12"/>
      <c r="D546" s="71"/>
      <c r="E546" s="13"/>
      <c r="F546" s="13"/>
      <c r="G546" s="13"/>
      <c r="H546" s="14"/>
    </row>
    <row r="547" spans="1:8" ht="21" hidden="1" customHeight="1">
      <c r="A547" s="12"/>
      <c r="B547" s="60" t="str">
        <f>DATA!A537</f>
        <v>Tiffen 4 x 5.65" Water White ND 2.1 Filter (7-Stop)</v>
      </c>
      <c r="C547" s="12"/>
      <c r="D547" s="71"/>
      <c r="E547" s="13"/>
      <c r="F547" s="13"/>
      <c r="G547" s="13"/>
      <c r="H547" s="14"/>
    </row>
    <row r="548" spans="1:8" ht="21" hidden="1" customHeight="1">
      <c r="A548" s="12"/>
      <c r="B548" s="60" t="str">
        <f>DATA!A538</f>
        <v>Tiffen 6.6 x 6.6" Clear Standard Coated Filter</v>
      </c>
      <c r="C548" s="12"/>
      <c r="D548" s="71"/>
      <c r="E548" s="13"/>
      <c r="F548" s="13"/>
      <c r="G548" s="13"/>
      <c r="H548" s="14"/>
    </row>
    <row r="549" spans="1:8" ht="21" hidden="1" customHeight="1">
      <c r="A549" s="12"/>
      <c r="B549" s="60" t="str">
        <f>DATA!A539</f>
        <v>Tiffen 6.6 x 6.6" Combination Soft FX 1 / IRND 0.3 Filter (1-Stop)</v>
      </c>
      <c r="C549" s="12"/>
      <c r="D549" s="71"/>
      <c r="E549" s="13"/>
      <c r="F549" s="13"/>
      <c r="G549" s="13"/>
      <c r="H549" s="14"/>
    </row>
    <row r="550" spans="1:8" ht="21" hidden="1" customHeight="1">
      <c r="A550" s="12"/>
      <c r="B550" s="60" t="str">
        <f>DATA!A540</f>
        <v>Tiffen 6.6 x 6.6" Combination Soft FX 1 / IRND 0.6 Filter (2-Stop)</v>
      </c>
      <c r="C550" s="12"/>
      <c r="D550" s="71"/>
      <c r="E550" s="13"/>
      <c r="F550" s="13"/>
      <c r="G550" s="13"/>
      <c r="H550" s="14"/>
    </row>
    <row r="551" spans="1:8" ht="21" hidden="1" customHeight="1">
      <c r="A551" s="12"/>
      <c r="B551" s="60" t="str">
        <f>DATA!A541</f>
        <v>Tiffen 6.6 x 6.6" Combination Soft FX 1 / IRND 0.9 Filter (3-Stop)</v>
      </c>
      <c r="C551" s="12"/>
      <c r="D551" s="71"/>
      <c r="E551" s="13"/>
      <c r="F551" s="13"/>
      <c r="G551" s="13"/>
      <c r="H551" s="14"/>
    </row>
    <row r="552" spans="1:8" ht="21" hidden="1" customHeight="1">
      <c r="A552" s="12"/>
      <c r="B552" s="60" t="str">
        <f>DATA!A542</f>
        <v>Tiffen 6.6 x 6.6" Combination Soft FX 1 / IRND 1.2 Filter (4-Stop)</v>
      </c>
      <c r="C552" s="12"/>
      <c r="D552" s="71"/>
      <c r="E552" s="13"/>
      <c r="F552" s="13"/>
      <c r="G552" s="13"/>
      <c r="H552" s="14"/>
    </row>
    <row r="553" spans="1:8" ht="21" hidden="1" customHeight="1">
      <c r="A553" s="12"/>
      <c r="B553" s="60" t="str">
        <f>DATA!A543</f>
        <v>Tiffen 6.6 x 6.6" Combination Soft FX 1/2 / IRND 0.3 Filter (1-Stop)</v>
      </c>
      <c r="C553" s="12"/>
      <c r="D553" s="71"/>
      <c r="E553" s="13"/>
      <c r="F553" s="13"/>
      <c r="G553" s="13"/>
      <c r="H553" s="14"/>
    </row>
    <row r="554" spans="1:8" ht="21" hidden="1" customHeight="1">
      <c r="A554" s="12"/>
      <c r="B554" s="60" t="str">
        <f>DATA!A544</f>
        <v>Tiffen 6.6 x 6.6" Combination Soft FX 1/2 / IRND 0.6 Filter (2-Stop)</v>
      </c>
      <c r="C554" s="12"/>
      <c r="D554" s="71"/>
      <c r="E554" s="13"/>
      <c r="F554" s="13"/>
      <c r="G554" s="13"/>
      <c r="H554" s="14"/>
    </row>
    <row r="555" spans="1:8" ht="21" hidden="1" customHeight="1">
      <c r="A555" s="12"/>
      <c r="B555" s="60" t="str">
        <f>DATA!A545</f>
        <v>Tiffen 6.6 x 6.6" Combination Soft FX 1/2 / IRND 0.9 Filter (3-Stop)</v>
      </c>
      <c r="C555" s="12"/>
      <c r="D555" s="71"/>
      <c r="E555" s="13"/>
      <c r="F555" s="13"/>
      <c r="G555" s="13"/>
      <c r="H555" s="14"/>
    </row>
    <row r="556" spans="1:8" ht="21" hidden="1" customHeight="1">
      <c r="A556" s="12"/>
      <c r="B556" s="60" t="str">
        <f>DATA!A546</f>
        <v>Tiffen 6.6 x 6.6" Combination Soft FX 1/2 / IRND 1.2 Filter (4-Stop)</v>
      </c>
      <c r="C556" s="12"/>
      <c r="D556" s="71"/>
      <c r="E556" s="13"/>
      <c r="F556" s="13"/>
      <c r="G556" s="13"/>
      <c r="H556" s="14"/>
    </row>
    <row r="557" spans="1:8" ht="21" hidden="1" customHeight="1">
      <c r="A557" s="12"/>
      <c r="B557" s="60" t="str">
        <f>DATA!A547</f>
        <v>Tiffen 6.6 x 6.6" Combination Soft FX 2 / IRND 0.3 Filter (1-Stop)</v>
      </c>
      <c r="C557" s="12"/>
      <c r="D557" s="71"/>
      <c r="E557" s="13"/>
      <c r="F557" s="13"/>
      <c r="G557" s="13"/>
      <c r="H557" s="14"/>
    </row>
    <row r="558" spans="1:8" ht="21" hidden="1" customHeight="1">
      <c r="A558" s="12"/>
      <c r="B558" s="60" t="str">
        <f>DATA!A548</f>
        <v>Tiffen 6.6 x 6.6" Combination Soft FX 2 / IRND 0.6 Filter (2-Stop)</v>
      </c>
      <c r="C558" s="12"/>
      <c r="D558" s="71"/>
      <c r="E558" s="13"/>
      <c r="F558" s="13"/>
      <c r="G558" s="13"/>
      <c r="H558" s="14"/>
    </row>
    <row r="559" spans="1:8" ht="21" hidden="1" customHeight="1">
      <c r="A559" s="12"/>
      <c r="B559" s="60" t="str">
        <f>DATA!A549</f>
        <v>Tiffen 6.6 x 6.6" Combination Soft FX 2 / IRND 0.9 Filter (3-Stop)</v>
      </c>
      <c r="C559" s="12"/>
      <c r="D559" s="71"/>
      <c r="E559" s="13"/>
      <c r="F559" s="13"/>
      <c r="G559" s="13"/>
      <c r="H559" s="14"/>
    </row>
    <row r="560" spans="1:8" ht="21" hidden="1" customHeight="1">
      <c r="A560" s="12"/>
      <c r="B560" s="60" t="str">
        <f>DATA!A550</f>
        <v>Tiffen 6.6 x 6.6" Combination Soft FX 2 / IRND 1.2 Filter (4-Stop)</v>
      </c>
      <c r="C560" s="12"/>
      <c r="D560" s="71"/>
      <c r="E560" s="13"/>
      <c r="F560" s="13"/>
      <c r="G560" s="13"/>
      <c r="H560" s="14"/>
    </row>
    <row r="561" spans="1:8" ht="21" hidden="1" customHeight="1">
      <c r="A561" s="12"/>
      <c r="B561" s="60" t="str">
        <f>DATA!A551</f>
        <v>Tiffen 6.6 x 6.6" Full Spectrum IRND 0.3 Filter (1-Stop)</v>
      </c>
      <c r="C561" s="12"/>
      <c r="D561" s="71"/>
      <c r="E561" s="13"/>
      <c r="F561" s="13"/>
      <c r="G561" s="13"/>
      <c r="H561" s="14"/>
    </row>
    <row r="562" spans="1:8" ht="21" hidden="1" customHeight="1">
      <c r="A562" s="12"/>
      <c r="B562" s="60" t="str">
        <f>DATA!A552</f>
        <v>Tiffen 6.6 x 6.6" Full Spectrum IRND 0.6 Filter (2-Stop)</v>
      </c>
      <c r="C562" s="12"/>
      <c r="D562" s="71"/>
      <c r="E562" s="13"/>
      <c r="F562" s="13"/>
      <c r="G562" s="13"/>
      <c r="H562" s="14"/>
    </row>
    <row r="563" spans="1:8" ht="21" hidden="1" customHeight="1">
      <c r="A563" s="12"/>
      <c r="B563" s="60" t="str">
        <f>DATA!A553</f>
        <v>Tiffen 6.6 x 6.6" Full Spectrum IRND 0.9 Filter (3-Stop)</v>
      </c>
      <c r="C563" s="12"/>
      <c r="D563" s="71"/>
      <c r="E563" s="13"/>
      <c r="F563" s="13"/>
      <c r="G563" s="13"/>
      <c r="H563" s="14"/>
    </row>
    <row r="564" spans="1:8" ht="21" hidden="1" customHeight="1">
      <c r="A564" s="12"/>
      <c r="B564" s="60" t="str">
        <f>DATA!A554</f>
        <v>Tiffen 6.6 x 6.6" Full Spectrum IRND 1.2 Filter (4-Stop)</v>
      </c>
      <c r="C564" s="12"/>
      <c r="D564" s="71"/>
      <c r="E564" s="13"/>
      <c r="F564" s="13"/>
      <c r="G564" s="13"/>
      <c r="H564" s="14"/>
    </row>
    <row r="565" spans="1:8" ht="21" hidden="1" customHeight="1">
      <c r="A565" s="12"/>
      <c r="B565" s="60" t="str">
        <f>DATA!A555</f>
        <v>Tiffen 6.6 x 6.6" Full Spectrum IRND 1.5 Filter (5-Stop)</v>
      </c>
      <c r="C565" s="12"/>
      <c r="D565" s="71"/>
      <c r="E565" s="13"/>
      <c r="F565" s="13"/>
      <c r="G565" s="13"/>
      <c r="H565" s="14"/>
    </row>
    <row r="566" spans="1:8" ht="21" hidden="1" customHeight="1">
      <c r="A566" s="12"/>
      <c r="B566" s="60" t="str">
        <f>DATA!A556</f>
        <v>Tiffen 6.6 x 6.6" Full Spectrum IRND 1.8 Filter (6-Stop)</v>
      </c>
      <c r="C566" s="12"/>
      <c r="D566" s="71"/>
      <c r="E566" s="13"/>
      <c r="F566" s="13"/>
      <c r="G566" s="13"/>
      <c r="H566" s="14"/>
    </row>
    <row r="567" spans="1:8" ht="21" hidden="1" customHeight="1">
      <c r="A567" s="12"/>
      <c r="B567" s="60" t="str">
        <f>DATA!A557</f>
        <v>Tiffen 6.6 x 6.6" Full Spectrum IRND 2.1 Filter (7-Stop)</v>
      </c>
      <c r="C567" s="12"/>
      <c r="D567" s="71"/>
      <c r="E567" s="13"/>
      <c r="F567" s="13"/>
      <c r="G567" s="13"/>
      <c r="H567" s="14"/>
    </row>
    <row r="568" spans="1:8" ht="21" hidden="1" customHeight="1">
      <c r="A568" s="12"/>
      <c r="B568" s="60" t="str">
        <f>DATA!A558</f>
        <v>Tiffen 6.6 x 6.6" Linear Polarizer Filter</v>
      </c>
      <c r="C568" s="12"/>
      <c r="D568" s="71"/>
      <c r="E568" s="13"/>
      <c r="F568" s="13"/>
      <c r="G568" s="13"/>
      <c r="H568" s="14"/>
    </row>
    <row r="569" spans="1:8" ht="21" hidden="1" customHeight="1">
      <c r="A569" s="12"/>
      <c r="B569" s="60" t="str">
        <f>DATA!A559</f>
        <v>Tiffen 6.6 x 6.6" T1 IR Filter</v>
      </c>
      <c r="C569" s="12"/>
      <c r="D569" s="71"/>
      <c r="E569" s="13"/>
      <c r="F569" s="13"/>
      <c r="G569" s="13"/>
      <c r="H569" s="14"/>
    </row>
    <row r="570" spans="1:8" ht="21" hidden="1" customHeight="1">
      <c r="A570" s="12"/>
      <c r="B570" s="60" t="str">
        <f>DATA!A560</f>
        <v>Tiffen Blue Streak Filter (4 x 5.65", 2 Thread Spacing)</v>
      </c>
      <c r="C570" s="12"/>
      <c r="D570" s="71"/>
      <c r="E570" s="13"/>
      <c r="F570" s="13"/>
      <c r="G570" s="13"/>
      <c r="H570" s="14"/>
    </row>
    <row r="571" spans="1:8" ht="21" hidden="1" customHeight="1">
      <c r="A571" s="12"/>
      <c r="B571" s="60" t="str">
        <f>DATA!A561</f>
        <v>Tiffen Blue Streak Filter (4 x 5.65", 3 Thread Spacing)</v>
      </c>
      <c r="C571" s="12"/>
      <c r="D571" s="71"/>
      <c r="E571" s="13"/>
      <c r="F571" s="13"/>
      <c r="G571" s="13"/>
      <c r="H571" s="14"/>
    </row>
    <row r="572" spans="1:8" ht="21" hidden="1" customHeight="1">
      <c r="A572" s="12"/>
      <c r="B572" s="60" t="str">
        <f>DATA!A562</f>
        <v>Tilta 3-Stage 4 x 5.65" Carbon Fiber Clip-On Matte Box (95mm Back)</v>
      </c>
      <c r="C572" s="12"/>
      <c r="D572" s="71"/>
      <c r="E572" s="13"/>
      <c r="F572" s="13"/>
      <c r="G572" s="13"/>
      <c r="H572" s="14"/>
    </row>
    <row r="573" spans="1:8" ht="21" hidden="1" customHeight="1">
      <c r="A573" s="12"/>
      <c r="B573" s="60" t="str">
        <f>DATA!A563</f>
        <v>Tilta 6.6 x 6.6" Carbon Fiber Matte Box</v>
      </c>
      <c r="C573" s="12"/>
      <c r="D573" s="71"/>
      <c r="E573" s="13"/>
      <c r="F573" s="13"/>
      <c r="G573" s="13"/>
      <c r="H573" s="14"/>
    </row>
    <row r="574" spans="1:8" ht="21" hidden="1" customHeight="1">
      <c r="A574" s="12"/>
      <c r="B574" s="60" t="str">
        <f>DATA!A564</f>
        <v>Tilta MB-T12 Matte Box 4 x 5.65"</v>
      </c>
      <c r="C574" s="12"/>
      <c r="D574" s="71"/>
      <c r="E574" s="13"/>
      <c r="F574" s="13"/>
      <c r="G574" s="13"/>
      <c r="H574" s="14"/>
    </row>
    <row r="575" spans="1:8" ht="21" hidden="1" customHeight="1">
      <c r="A575" s="12"/>
      <c r="B575" s="60" t="str">
        <f>DATA!A565</f>
        <v>Tilta professional Manual cinema slider system 1-2-3m</v>
      </c>
      <c r="C575" s="12"/>
      <c r="D575" s="71"/>
      <c r="E575" s="13"/>
      <c r="F575" s="13"/>
      <c r="G575" s="13"/>
      <c r="H575" s="14"/>
    </row>
    <row r="576" spans="1:8" ht="21" hidden="1" customHeight="1">
      <c r="A576" s="12"/>
      <c r="B576" s="60" t="str">
        <f>DATA!A566</f>
        <v>Titla Wireless Focus</v>
      </c>
      <c r="C576" s="12"/>
      <c r="D576" s="71"/>
      <c r="E576" s="13"/>
      <c r="F576" s="13"/>
      <c r="G576" s="13"/>
      <c r="H576" s="14"/>
    </row>
    <row r="577" spans="1:8" ht="21" hidden="1" customHeight="1">
      <c r="A577" s="12"/>
      <c r="B577" s="60" t="str">
        <f>DATA!A567</f>
        <v xml:space="preserve">Translator </v>
      </c>
      <c r="C577" s="12"/>
      <c r="D577" s="71"/>
      <c r="E577" s="13"/>
      <c r="F577" s="13"/>
      <c r="G577" s="13"/>
      <c r="H577" s="14"/>
    </row>
    <row r="578" spans="1:8" ht="21" hidden="1" customHeight="1">
      <c r="A578" s="12"/>
      <c r="B578" s="60" t="str">
        <f>DATA!A568</f>
        <v>Transportation</v>
      </c>
      <c r="C578" s="12"/>
      <c r="D578" s="71"/>
      <c r="E578" s="13"/>
      <c r="F578" s="13"/>
      <c r="G578" s="13"/>
      <c r="H578" s="14"/>
    </row>
    <row r="579" spans="1:8" ht="21" hidden="1" customHeight="1">
      <c r="A579" s="12"/>
      <c r="B579" s="60" t="str">
        <f>DATA!A569</f>
        <v>Transportation Abu Dhabi</v>
      </c>
      <c r="C579" s="12"/>
      <c r="D579" s="71"/>
      <c r="E579" s="13"/>
      <c r="F579" s="13"/>
      <c r="G579" s="13"/>
      <c r="H579" s="14"/>
    </row>
    <row r="580" spans="1:8" ht="21" hidden="1" customHeight="1">
      <c r="A580" s="12"/>
      <c r="B580" s="60" t="str">
        <f>DATA!A570</f>
        <v>Transportation other regions then AD, Al Ain and Dubai</v>
      </c>
      <c r="C580" s="12"/>
      <c r="D580" s="71"/>
      <c r="E580" s="13"/>
      <c r="F580" s="13"/>
      <c r="G580" s="13"/>
      <c r="H580" s="14"/>
    </row>
    <row r="581" spans="1:8" ht="21" hidden="1" customHeight="1">
      <c r="A581" s="12"/>
      <c r="B581" s="60" t="str">
        <f>DATA!A571</f>
        <v xml:space="preserve">Transvideo </v>
      </c>
      <c r="C581" s="12"/>
      <c r="D581" s="71"/>
      <c r="E581" s="13"/>
      <c r="F581" s="13"/>
      <c r="G581" s="13"/>
      <c r="H581" s="14"/>
    </row>
    <row r="582" spans="1:8" ht="21" hidden="1" customHeight="1">
      <c r="A582" s="12"/>
      <c r="B582" s="60" t="str">
        <f>DATA!A572</f>
        <v>Tripod Botai V25</v>
      </c>
      <c r="C582" s="12"/>
      <c r="D582" s="71"/>
      <c r="E582" s="13"/>
      <c r="F582" s="13"/>
      <c r="G582" s="13"/>
      <c r="H582" s="14"/>
    </row>
    <row r="583" spans="1:8" ht="21" hidden="1" customHeight="1">
      <c r="A583" s="12"/>
      <c r="B583" s="60" t="str">
        <f>DATA!A573</f>
        <v>Truck-Abu Dhabi(Truck for equipment or Generator)</v>
      </c>
      <c r="C583" s="12"/>
      <c r="D583" s="71"/>
      <c r="E583" s="13"/>
      <c r="F583" s="13"/>
      <c r="G583" s="13"/>
      <c r="H583" s="14"/>
    </row>
    <row r="584" spans="1:8" ht="21" hidden="1" customHeight="1">
      <c r="A584" s="12"/>
      <c r="B584" s="60" t="str">
        <f>DATA!A574</f>
        <v xml:space="preserve">TV Logic 17” Full HD Monitor </v>
      </c>
      <c r="C584" s="12"/>
      <c r="D584" s="71"/>
      <c r="E584" s="13"/>
      <c r="F584" s="13"/>
      <c r="G584" s="13"/>
      <c r="H584" s="14"/>
    </row>
    <row r="585" spans="1:8" ht="21" hidden="1" customHeight="1">
      <c r="A585" s="12"/>
      <c r="B585" s="60" t="str">
        <f>DATA!A575</f>
        <v xml:space="preserve">TV Logic 5.6” Full HD Monitor </v>
      </c>
      <c r="C585" s="12"/>
      <c r="D585" s="71"/>
      <c r="E585" s="13"/>
      <c r="F585" s="13"/>
      <c r="G585" s="13"/>
      <c r="H585" s="14"/>
    </row>
    <row r="586" spans="1:8" ht="21" hidden="1" customHeight="1">
      <c r="A586" s="12"/>
      <c r="B586" s="60" t="str">
        <f>DATA!A576</f>
        <v xml:space="preserve">TV Logic 7” Full HD Monitor </v>
      </c>
      <c r="C586" s="12"/>
      <c r="D586" s="71"/>
      <c r="E586" s="13"/>
      <c r="F586" s="13"/>
      <c r="G586" s="13"/>
      <c r="H586" s="14"/>
    </row>
    <row r="587" spans="1:8" ht="21" hidden="1" customHeight="1">
      <c r="A587" s="12"/>
      <c r="B587" s="60" t="str">
        <f>DATA!A577</f>
        <v xml:space="preserve">TV Logic 9” Full HD Monitor </v>
      </c>
      <c r="C587" s="12"/>
      <c r="D587" s="71"/>
      <c r="E587" s="13"/>
      <c r="F587" s="13"/>
      <c r="G587" s="13"/>
      <c r="H587" s="14"/>
    </row>
    <row r="588" spans="1:8" ht="21" hidden="1" customHeight="1">
      <c r="A588" s="12"/>
      <c r="B588" s="60" t="str">
        <f>DATA!A578</f>
        <v>TYBE 120 LED</v>
      </c>
      <c r="C588" s="12"/>
      <c r="D588" s="71"/>
      <c r="E588" s="13"/>
      <c r="F588" s="13"/>
      <c r="G588" s="13"/>
      <c r="H588" s="14"/>
    </row>
    <row r="589" spans="1:8" ht="21" hidden="1" customHeight="1">
      <c r="A589" s="12"/>
      <c r="B589" s="60" t="str">
        <f>DATA!A579</f>
        <v>TYBE 60 LED</v>
      </c>
      <c r="C589" s="12"/>
      <c r="D589" s="71"/>
      <c r="E589" s="13"/>
      <c r="F589" s="13"/>
      <c r="G589" s="13"/>
      <c r="H589" s="14"/>
    </row>
    <row r="590" spans="1:8" ht="21" hidden="1" customHeight="1">
      <c r="A590" s="12"/>
      <c r="B590" s="60" t="str">
        <f>DATA!A580</f>
        <v xml:space="preserve">Ultimate Fluid Head 2575D </v>
      </c>
      <c r="C590" s="12"/>
      <c r="D590" s="71"/>
      <c r="E590" s="13"/>
      <c r="F590" s="13"/>
      <c r="G590" s="13"/>
      <c r="H590" s="14"/>
    </row>
    <row r="591" spans="1:8" ht="21" hidden="1" customHeight="1">
      <c r="A591" s="12"/>
      <c r="B591" s="60" t="str">
        <f>DATA!A581</f>
        <v xml:space="preserve">Universal Carmount </v>
      </c>
      <c r="C591" s="12"/>
      <c r="D591" s="71"/>
      <c r="E591" s="13"/>
      <c r="F591" s="13"/>
      <c r="G591" s="13"/>
      <c r="H591" s="14"/>
    </row>
    <row r="592" spans="1:8" ht="21" hidden="1" customHeight="1">
      <c r="A592" s="12"/>
      <c r="B592" s="60" t="str">
        <f>DATA!A582</f>
        <v>Video Editor</v>
      </c>
      <c r="C592" s="12"/>
      <c r="D592" s="71"/>
      <c r="E592" s="13"/>
      <c r="F592" s="13"/>
      <c r="G592" s="13"/>
      <c r="H592" s="14"/>
    </row>
    <row r="593" spans="1:8" ht="21" hidden="1" customHeight="1">
      <c r="A593" s="12"/>
      <c r="B593" s="60" t="str">
        <f>DATA!A583</f>
        <v>Videographer Junior</v>
      </c>
      <c r="C593" s="12"/>
      <c r="D593" s="71"/>
      <c r="E593" s="13"/>
      <c r="F593" s="13"/>
      <c r="G593" s="13"/>
      <c r="H593" s="14"/>
    </row>
    <row r="594" spans="1:8" ht="21" hidden="1" customHeight="1">
      <c r="A594" s="12"/>
      <c r="B594" s="60" t="str">
        <f>DATA!A584</f>
        <v>Videographer Making-off</v>
      </c>
      <c r="C594" s="12"/>
      <c r="D594" s="71"/>
      <c r="E594" s="13"/>
      <c r="F594" s="13"/>
      <c r="G594" s="13"/>
      <c r="H594" s="14"/>
    </row>
    <row r="595" spans="1:8" ht="21" hidden="1" customHeight="1">
      <c r="A595" s="12"/>
      <c r="B595" s="60" t="str">
        <f>DATA!A585</f>
        <v>Videographer Senior</v>
      </c>
      <c r="C595" s="12"/>
      <c r="D595" s="71"/>
      <c r="E595" s="13"/>
      <c r="F595" s="13"/>
      <c r="G595" s="13"/>
      <c r="H595" s="14"/>
    </row>
    <row r="596" spans="1:8" ht="21" hidden="1" customHeight="1">
      <c r="A596" s="12"/>
      <c r="B596" s="60" t="str">
        <f>DATA!A586</f>
        <v>Visual Effects Animator</v>
      </c>
      <c r="C596" s="12"/>
      <c r="D596" s="71"/>
      <c r="E596" s="13"/>
      <c r="F596" s="13"/>
      <c r="G596" s="13"/>
      <c r="H596" s="14"/>
    </row>
    <row r="597" spans="1:8" ht="21" hidden="1" customHeight="1">
      <c r="A597" s="12"/>
      <c r="B597" s="60" t="str">
        <f>DATA!A587</f>
        <v>Visual Effects Animator 2D</v>
      </c>
      <c r="C597" s="12"/>
      <c r="D597" s="71"/>
      <c r="E597" s="13"/>
      <c r="F597" s="13"/>
      <c r="G597" s="13"/>
      <c r="H597" s="14"/>
    </row>
    <row r="598" spans="1:8" ht="21" hidden="1" customHeight="1">
      <c r="A598" s="12"/>
      <c r="B598" s="60" t="str">
        <f>DATA!A588</f>
        <v>Visual Effects Animator 3D</v>
      </c>
      <c r="C598" s="12"/>
      <c r="D598" s="71"/>
      <c r="E598" s="13"/>
      <c r="F598" s="13"/>
      <c r="G598" s="13"/>
      <c r="H598" s="14"/>
    </row>
    <row r="599" spans="1:8" ht="21" hidden="1" customHeight="1">
      <c r="A599" s="12"/>
      <c r="B599" s="60" t="str">
        <f>DATA!A589</f>
        <v>Voice Actors - Arabic - Adults</v>
      </c>
      <c r="C599" s="12"/>
      <c r="D599" s="71"/>
      <c r="E599" s="13"/>
      <c r="F599" s="13"/>
      <c r="G599" s="13"/>
      <c r="H599" s="14"/>
    </row>
    <row r="600" spans="1:8" ht="21" hidden="1" customHeight="1">
      <c r="A600" s="12"/>
      <c r="B600" s="60" t="str">
        <f>DATA!A590</f>
        <v>Voice Actors - Arabic - Children</v>
      </c>
      <c r="C600" s="12"/>
      <c r="D600" s="71"/>
      <c r="E600" s="13"/>
      <c r="F600" s="13"/>
      <c r="G600" s="13"/>
      <c r="H600" s="14"/>
    </row>
    <row r="601" spans="1:8" ht="21" hidden="1" customHeight="1">
      <c r="A601" s="12"/>
      <c r="B601" s="60" t="str">
        <f>DATA!A591</f>
        <v>Voice Actors - Arabic - Youth</v>
      </c>
      <c r="C601" s="12"/>
      <c r="D601" s="71"/>
      <c r="E601" s="13"/>
      <c r="F601" s="13"/>
      <c r="G601" s="13"/>
      <c r="H601" s="14"/>
    </row>
    <row r="602" spans="1:8" ht="21" hidden="1" customHeight="1">
      <c r="A602" s="12"/>
      <c r="B602" s="60" t="str">
        <f>DATA!A592</f>
        <v>Voice Actors - Arabic Emirati - Adults</v>
      </c>
      <c r="C602" s="12"/>
      <c r="D602" s="71"/>
      <c r="E602" s="13"/>
      <c r="F602" s="13"/>
      <c r="G602" s="13"/>
      <c r="H602" s="14"/>
    </row>
    <row r="603" spans="1:8" ht="21" hidden="1" customHeight="1">
      <c r="A603" s="12"/>
      <c r="B603" s="60" t="str">
        <f>DATA!A593</f>
        <v>Voice Actors - Arabic Emirati - Children</v>
      </c>
      <c r="C603" s="12"/>
      <c r="D603" s="71"/>
      <c r="E603" s="13"/>
      <c r="F603" s="13"/>
      <c r="G603" s="13"/>
      <c r="H603" s="14"/>
    </row>
    <row r="604" spans="1:8" ht="21" hidden="1" customHeight="1">
      <c r="A604" s="12"/>
      <c r="B604" s="60" t="str">
        <f>DATA!A594</f>
        <v>Voice Actors - Arabic Emirati - Youth</v>
      </c>
      <c r="C604" s="12"/>
      <c r="D604" s="71"/>
      <c r="E604" s="13"/>
      <c r="F604" s="13"/>
      <c r="G604" s="13"/>
      <c r="H604" s="14"/>
    </row>
    <row r="605" spans="1:8" ht="21" hidden="1" customHeight="1">
      <c r="A605" s="12"/>
      <c r="B605" s="60" t="str">
        <f>DATA!A595</f>
        <v>Voice Actors - English - Emirati - Adults</v>
      </c>
      <c r="C605" s="12"/>
      <c r="D605" s="71"/>
      <c r="E605" s="13"/>
      <c r="F605" s="13"/>
      <c r="G605" s="13"/>
      <c r="H605" s="14"/>
    </row>
    <row r="606" spans="1:8" ht="21" hidden="1" customHeight="1">
      <c r="A606" s="12"/>
      <c r="B606" s="60" t="str">
        <f>DATA!A596</f>
        <v>Voice Actors - English - Emirati - Children</v>
      </c>
      <c r="C606" s="12"/>
      <c r="D606" s="71"/>
      <c r="E606" s="13"/>
      <c r="F606" s="13"/>
      <c r="G606" s="13"/>
      <c r="H606" s="14"/>
    </row>
    <row r="607" spans="1:8" ht="21" hidden="1" customHeight="1">
      <c r="A607" s="12"/>
      <c r="B607" s="60" t="str">
        <f>DATA!A597</f>
        <v>Voice Actors - English - Emirati - Youth</v>
      </c>
      <c r="C607" s="12"/>
      <c r="D607" s="71"/>
      <c r="E607" s="13"/>
      <c r="F607" s="13"/>
      <c r="G607" s="13"/>
      <c r="H607" s="14"/>
    </row>
    <row r="608" spans="1:8" ht="21" hidden="1" customHeight="1">
      <c r="A608" s="12"/>
      <c r="B608" s="60" t="str">
        <f>DATA!A598</f>
        <v>Voice Actors - English (British) - Adults</v>
      </c>
      <c r="C608" s="12"/>
      <c r="D608" s="71"/>
      <c r="E608" s="13"/>
      <c r="F608" s="13"/>
      <c r="G608" s="13"/>
      <c r="H608" s="14"/>
    </row>
    <row r="609" spans="1:8" ht="21" hidden="1" customHeight="1">
      <c r="A609" s="12"/>
      <c r="B609" s="60" t="str">
        <f>DATA!A599</f>
        <v>Voice Actors - English (British) - Children</v>
      </c>
      <c r="C609" s="12"/>
      <c r="D609" s="71"/>
      <c r="E609" s="13"/>
      <c r="F609" s="13"/>
      <c r="G609" s="13"/>
      <c r="H609" s="14"/>
    </row>
    <row r="610" spans="1:8" ht="21" hidden="1" customHeight="1">
      <c r="A610" s="12"/>
      <c r="B610" s="60" t="str">
        <f>DATA!A600</f>
        <v>Voice Actors - English (British) - Youth</v>
      </c>
      <c r="C610" s="12"/>
      <c r="D610" s="71"/>
      <c r="E610" s="13"/>
      <c r="F610" s="13"/>
      <c r="G610" s="13"/>
      <c r="H610" s="14"/>
    </row>
    <row r="611" spans="1:8" ht="21" hidden="1" customHeight="1">
      <c r="A611" s="12"/>
      <c r="B611" s="60" t="str">
        <f>DATA!A601</f>
        <v>Voiceover recorder</v>
      </c>
      <c r="C611" s="12"/>
      <c r="D611" s="71"/>
      <c r="E611" s="13"/>
      <c r="F611" s="13"/>
      <c r="G611" s="13"/>
      <c r="H611" s="14"/>
    </row>
    <row r="612" spans="1:8" ht="21" hidden="1" customHeight="1">
      <c r="A612" s="12"/>
      <c r="B612" s="60" t="str">
        <f>DATA!A602</f>
        <v>VOYAGER UNER WATER 120 LED</v>
      </c>
      <c r="C612" s="12"/>
      <c r="D612" s="71"/>
      <c r="E612" s="13"/>
      <c r="F612" s="13"/>
      <c r="G612" s="13"/>
      <c r="H612" s="14"/>
    </row>
    <row r="613" spans="1:8" ht="21" hidden="1" customHeight="1">
      <c r="A613" s="12"/>
      <c r="B613" s="60" t="str">
        <f>DATA!A603</f>
        <v>VOYAGER UNER WATER 60 LED</v>
      </c>
      <c r="C613" s="12"/>
      <c r="D613" s="71"/>
      <c r="E613" s="13"/>
      <c r="F613" s="13"/>
      <c r="G613" s="13"/>
      <c r="H613" s="14"/>
    </row>
    <row r="614" spans="1:8" ht="21" hidden="1" customHeight="1">
      <c r="A614" s="12"/>
      <c r="B614" s="60" t="str">
        <f>DATA!A604</f>
        <v xml:space="preserve">Walkie Talkie </v>
      </c>
      <c r="C614" s="12"/>
      <c r="D614" s="71"/>
      <c r="E614" s="13"/>
      <c r="F614" s="13"/>
      <c r="G614" s="13"/>
      <c r="H614" s="14"/>
    </row>
    <row r="615" spans="1:8" ht="21" hidden="1" customHeight="1">
      <c r="A615" s="12"/>
      <c r="B615" s="60" t="str">
        <f>DATA!A605</f>
        <v>Wardrobe Stylist</v>
      </c>
      <c r="C615" s="12"/>
      <c r="D615" s="71"/>
      <c r="E615" s="13"/>
      <c r="F615" s="13"/>
      <c r="G615" s="13"/>
      <c r="H615" s="14"/>
    </row>
    <row r="616" spans="1:8" ht="21" hidden="1" customHeight="1">
      <c r="A616" s="12"/>
      <c r="B616" s="60" t="str">
        <f>DATA!A606</f>
        <v>Wireless Director Monitor</v>
      </c>
      <c r="C616" s="12"/>
      <c r="D616" s="71"/>
      <c r="E616" s="13"/>
      <c r="F616" s="13"/>
      <c r="G616" s="13"/>
      <c r="H616" s="14"/>
    </row>
    <row r="617" spans="1:8" ht="21" hidden="1" customHeight="1">
      <c r="A617" s="12"/>
      <c r="B617" s="60" t="str">
        <f>DATA!A607</f>
        <v>Zeiss CP2 Lens 70-200</v>
      </c>
      <c r="C617" s="12"/>
      <c r="D617" s="71"/>
      <c r="E617" s="13"/>
      <c r="F617" s="13"/>
      <c r="G617" s="13"/>
      <c r="H617" s="14"/>
    </row>
    <row r="618" spans="1:8" ht="21" hidden="1" customHeight="1">
      <c r="A618" s="12"/>
      <c r="B618" s="60" t="str">
        <f>DATA!A608</f>
        <v xml:space="preserve">Zeiss CP3 Lens Kit – 15,25,35,50,85,135mm (FF) </v>
      </c>
      <c r="C618" s="12"/>
      <c r="D618" s="71"/>
      <c r="E618" s="13"/>
      <c r="F618" s="13"/>
      <c r="G618" s="13"/>
      <c r="H618" s="14"/>
    </row>
    <row r="619" spans="1:8" ht="21" hidden="1" customHeight="1">
      <c r="A619" s="12"/>
      <c r="B619" s="60" t="str">
        <f>DATA!A609</f>
        <v xml:space="preserve">Zeiss Supreme Prime – 150mm </v>
      </c>
      <c r="C619" s="12"/>
      <c r="D619" s="71"/>
      <c r="E619" s="13"/>
      <c r="F619" s="13"/>
      <c r="G619" s="13"/>
      <c r="H619" s="14"/>
    </row>
    <row r="620" spans="1:8" ht="21" hidden="1" customHeight="1">
      <c r="A620" s="12"/>
      <c r="B620" s="60" t="str">
        <f>DATA!A610</f>
        <v xml:space="preserve">Zeiss Supreme Prime – 18mm </v>
      </c>
      <c r="C620" s="12"/>
      <c r="D620" s="71"/>
      <c r="E620" s="13"/>
      <c r="F620" s="13"/>
      <c r="G620" s="13"/>
      <c r="H620" s="14"/>
    </row>
    <row r="621" spans="1:8" ht="21" hidden="1" customHeight="1">
      <c r="A621" s="12"/>
      <c r="B621" s="60" t="str">
        <f>DATA!A611</f>
        <v xml:space="preserve">Zeiss Supreme Primes Lens Kit – 21,25,29,35,50,85,100, 135mm </v>
      </c>
      <c r="C621" s="12"/>
      <c r="D621" s="71"/>
      <c r="E621" s="13"/>
      <c r="F621" s="13"/>
      <c r="G621" s="13"/>
      <c r="H621" s="14"/>
    </row>
    <row r="622" spans="1:8" ht="21" hidden="1" customHeight="1">
      <c r="A622" s="12"/>
      <c r="B622" s="60" t="str">
        <f>DATA!A612</f>
        <v>Zoom Forza 60 LED</v>
      </c>
      <c r="C622" s="12"/>
      <c r="D622" s="71"/>
      <c r="E622" s="13"/>
      <c r="F622" s="13"/>
      <c r="G622" s="13"/>
      <c r="H622" s="14"/>
    </row>
    <row r="623" spans="1:8" ht="21" hidden="1" customHeight="1">
      <c r="A623" s="12"/>
      <c r="B623" s="60" t="str">
        <f>DATA!A613</f>
        <v>location manager</v>
      </c>
      <c r="C623" s="12"/>
      <c r="D623" s="71"/>
      <c r="E623" s="13"/>
      <c r="F623" s="13"/>
      <c r="G623" s="13"/>
      <c r="H623" s="14"/>
    </row>
    <row r="624" spans="1:8" ht="21" hidden="1" customHeight="1">
      <c r="A624" s="12"/>
      <c r="B624" s="60" t="str">
        <f>DATA!A614</f>
        <v>Location Assistant</v>
      </c>
      <c r="C624" s="12"/>
      <c r="D624" s="71"/>
      <c r="E624" s="13"/>
      <c r="F624" s="13"/>
      <c r="G624" s="13"/>
      <c r="H624" s="14"/>
    </row>
    <row r="625" spans="1:8" ht="21" hidden="1" customHeight="1">
      <c r="A625" s="12"/>
      <c r="B625" s="60" t="str">
        <f>DATA!A615</f>
        <v>Accountant</v>
      </c>
      <c r="C625" s="12"/>
      <c r="D625" s="71"/>
      <c r="E625" s="13"/>
      <c r="F625" s="13"/>
      <c r="G625" s="13"/>
      <c r="H625" s="14"/>
    </row>
    <row r="626" spans="1:8" ht="21" hidden="1" customHeight="1">
      <c r="A626" s="12"/>
      <c r="B626" s="60" t="str">
        <f>DATA!A616</f>
        <v>Production Designer</v>
      </c>
      <c r="C626" s="12"/>
      <c r="D626" s="71"/>
      <c r="E626" s="13"/>
      <c r="F626" s="13"/>
      <c r="G626" s="13"/>
      <c r="H626" s="14"/>
    </row>
    <row r="627" spans="1:8" ht="21" hidden="1" customHeight="1">
      <c r="A627" s="12"/>
      <c r="B627" s="60" t="str">
        <f>DATA!A617</f>
        <v>GODOX s30</v>
      </c>
      <c r="C627" s="12"/>
      <c r="D627" s="71"/>
      <c r="E627" s="13"/>
      <c r="F627" s="13"/>
      <c r="G627" s="13"/>
      <c r="H627" s="14"/>
    </row>
    <row r="628" spans="1:8" ht="21" hidden="1" customHeight="1">
      <c r="A628" s="12"/>
      <c r="B628" s="60" t="str">
        <f>DATA!A618</f>
        <v>Backdrop Clips</v>
      </c>
      <c r="C628" s="12"/>
      <c r="D628" s="71"/>
      <c r="E628" s="13"/>
      <c r="F628" s="13"/>
      <c r="G628" s="13"/>
      <c r="H628" s="14"/>
    </row>
    <row r="629" spans="1:8" ht="21" hidden="1" customHeight="1">
      <c r="A629" s="12"/>
      <c r="B629" s="60" t="str">
        <f>DATA!A619</f>
        <v>Reflector holder</v>
      </c>
      <c r="C629" s="12"/>
      <c r="D629" s="71"/>
      <c r="E629" s="13"/>
      <c r="F629" s="13"/>
      <c r="G629" s="13"/>
      <c r="H629" s="14"/>
    </row>
    <row r="630" spans="1:8" ht="21" hidden="1" customHeight="1">
      <c r="A630" s="12"/>
      <c r="B630" s="60" t="str">
        <f>DATA!A620</f>
        <v>Flopy Small</v>
      </c>
      <c r="C630" s="12"/>
      <c r="D630" s="71"/>
      <c r="E630" s="13"/>
      <c r="F630" s="13"/>
      <c r="G630" s="13"/>
      <c r="H630" s="14"/>
    </row>
    <row r="631" spans="1:8" ht="21" hidden="1" customHeight="1">
      <c r="A631" s="12"/>
      <c r="B631" s="60" t="str">
        <f>DATA!A621</f>
        <v>Nanlite Pavo Tube 6C</v>
      </c>
      <c r="C631" s="12"/>
      <c r="D631" s="71"/>
      <c r="E631" s="13"/>
      <c r="F631" s="13"/>
      <c r="G631" s="13"/>
      <c r="H631" s="14"/>
    </row>
    <row r="632" spans="1:8" ht="21" hidden="1" customHeight="1">
      <c r="A632" s="12"/>
      <c r="B632" s="60" t="str">
        <f>DATA!A622</f>
        <v>Chargers</v>
      </c>
      <c r="C632" s="12"/>
      <c r="D632" s="71"/>
      <c r="E632" s="13"/>
      <c r="F632" s="13"/>
      <c r="G632" s="13"/>
      <c r="H632" s="14"/>
    </row>
    <row r="633" spans="1:8" ht="21" hidden="1" customHeight="1">
      <c r="A633" s="12"/>
      <c r="B633" s="60" t="str">
        <f>DATA!A623</f>
        <v>Sand Bag</v>
      </c>
      <c r="C633" s="12"/>
      <c r="D633" s="71"/>
      <c r="E633" s="13"/>
      <c r="F633" s="13"/>
      <c r="G633" s="13"/>
      <c r="H633" s="14"/>
    </row>
    <row r="634" spans="1:8" ht="21" hidden="1" customHeight="1">
      <c r="A634" s="12"/>
      <c r="B634" s="60" t="str">
        <f>DATA!A624</f>
        <v>-</v>
      </c>
      <c r="C634" s="12"/>
      <c r="D634" s="71"/>
      <c r="E634" s="13"/>
      <c r="F634" s="13"/>
      <c r="G634" s="13"/>
      <c r="H634" s="14"/>
    </row>
    <row r="635" spans="1:8" ht="21" hidden="1" customHeight="1">
      <c r="A635" s="12"/>
      <c r="B635" s="60" t="str">
        <f>DATA!A625</f>
        <v>Headphone</v>
      </c>
      <c r="C635" s="12"/>
      <c r="D635" s="71"/>
      <c r="E635" s="13"/>
      <c r="F635" s="13"/>
      <c r="G635" s="13"/>
      <c r="H635" s="14"/>
    </row>
    <row r="636" spans="1:8" ht="21" hidden="1" customHeight="1">
      <c r="A636" s="12"/>
      <c r="B636" s="60" t="str">
        <f>DATA!A626</f>
        <v>Audio Mixer Pr</v>
      </c>
      <c r="C636" s="12"/>
      <c r="D636" s="71"/>
      <c r="E636" s="13"/>
      <c r="F636" s="13"/>
      <c r="G636" s="13"/>
      <c r="H636" s="14"/>
    </row>
    <row r="637" spans="1:8" ht="21" hidden="1" customHeight="1">
      <c r="A637" s="12"/>
      <c r="B637" s="60" t="str">
        <f>DATA!A627</f>
        <v>MKE-2 Nec mics</v>
      </c>
      <c r="C637" s="12"/>
      <c r="D637" s="71"/>
      <c r="E637" s="13"/>
      <c r="F637" s="13"/>
      <c r="G637" s="13"/>
      <c r="H637" s="14"/>
    </row>
    <row r="638" spans="1:8" ht="21" hidden="1" customHeight="1">
      <c r="A638" s="12"/>
      <c r="B638" s="60" t="str">
        <f>DATA!A628</f>
        <v>G4 receivers</v>
      </c>
      <c r="C638" s="12"/>
      <c r="D638" s="71"/>
      <c r="E638" s="13"/>
      <c r="F638" s="13"/>
      <c r="G638" s="13"/>
      <c r="H638" s="14"/>
    </row>
    <row r="639" spans="1:8" ht="21" hidden="1" customHeight="1">
      <c r="A639" s="12"/>
      <c r="B639" s="60" t="str">
        <f>DATA!A629</f>
        <v>G4 Transmitters</v>
      </c>
      <c r="C639" s="12"/>
      <c r="D639" s="71"/>
      <c r="E639" s="13"/>
      <c r="F639" s="13"/>
      <c r="G639" s="13"/>
      <c r="H639" s="14"/>
    </row>
    <row r="640" spans="1:8" ht="21" hidden="1" customHeight="1">
      <c r="A640" s="12"/>
      <c r="B640" s="60" t="str">
        <f>DATA!A630</f>
        <v>Plugon</v>
      </c>
      <c r="C640" s="12"/>
      <c r="D640" s="71"/>
      <c r="E640" s="13"/>
      <c r="F640" s="13"/>
      <c r="G640" s="13"/>
      <c r="H640" s="14"/>
    </row>
    <row r="641" spans="1:8" ht="21" hidden="1" customHeight="1">
      <c r="A641" s="12"/>
      <c r="B641" s="60" t="str">
        <f>DATA!A631</f>
        <v>G3 Hand mic</v>
      </c>
      <c r="C641" s="12"/>
      <c r="D641" s="71"/>
      <c r="E641" s="13"/>
      <c r="F641" s="13"/>
      <c r="G641" s="13"/>
      <c r="H641" s="14"/>
    </row>
    <row r="642" spans="1:8" ht="21" hidden="1" customHeight="1">
      <c r="A642" s="12"/>
      <c r="B642" s="60" t="str">
        <f>DATA!A632</f>
        <v>G3 Receiver</v>
      </c>
      <c r="C642" s="12"/>
      <c r="D642" s="71"/>
      <c r="E642" s="13"/>
      <c r="F642" s="13"/>
      <c r="G642" s="13"/>
      <c r="H642" s="14"/>
    </row>
    <row r="643" spans="1:8" ht="21" hidden="1" customHeight="1">
      <c r="A643" s="12"/>
      <c r="B643" s="60" t="str">
        <f>DATA!A644</f>
        <v>Diffuser Frame 4*4</v>
      </c>
      <c r="C643" s="12"/>
      <c r="D643" s="71"/>
      <c r="E643" s="13"/>
      <c r="F643" s="13"/>
      <c r="G643" s="13"/>
      <c r="H643" s="14"/>
    </row>
    <row r="644" spans="1:8" ht="21" hidden="1" customHeight="1">
      <c r="A644" s="12"/>
      <c r="B644" s="60" t="str">
        <f>DATA!A645</f>
        <v>Customized String Bag , Black Color with Spira
branding both sides</v>
      </c>
      <c r="C644" s="12"/>
      <c r="D644" s="71"/>
      <c r="E644" s="13"/>
      <c r="F644" s="13"/>
      <c r="G644" s="13"/>
      <c r="H644" s="14"/>
    </row>
    <row r="645" spans="1:8" ht="21" hidden="1" customHeight="1">
      <c r="A645" s="12"/>
      <c r="B645" s="60" t="str">
        <f>DATA!A646</f>
        <v>Blackmagic Videohub 40x40 12G</v>
      </c>
      <c r="C645" s="12"/>
      <c r="D645" s="71"/>
      <c r="E645" s="13"/>
      <c r="F645" s="13"/>
      <c r="G645" s="13"/>
      <c r="H645" s="14"/>
    </row>
    <row r="646" spans="1:8" ht="21" hidden="1" customHeight="1">
      <c r="A646" s="12"/>
      <c r="B646" s="60" t="str">
        <f>DATA!A647</f>
        <v>DeckLink Quad 2</v>
      </c>
      <c r="C646" s="12"/>
      <c r="D646" s="71"/>
      <c r="E646" s="13"/>
      <c r="F646" s="13"/>
      <c r="G646" s="13"/>
      <c r="H646" s="14"/>
    </row>
    <row r="647" spans="1:8" ht="21" hidden="1" customHeight="1">
      <c r="A647" s="12"/>
      <c r="B647" s="60" t="str">
        <f>DATA!A648</f>
        <v>Marshall CV504</v>
      </c>
      <c r="C647" s="12"/>
      <c r="D647" s="71"/>
      <c r="E647" s="13"/>
      <c r="F647" s="13"/>
      <c r="G647" s="13"/>
      <c r="H647" s="14"/>
    </row>
    <row r="648" spans="1:8" ht="21" hidden="1" customHeight="1">
      <c r="A648" s="12"/>
      <c r="B648" s="60" t="str">
        <f>DATA!A649</f>
        <v>Ursa Brodcast G2</v>
      </c>
      <c r="C648" s="12"/>
      <c r="D648" s="71"/>
      <c r="E648" s="13"/>
      <c r="F648" s="13"/>
      <c r="G648" s="13"/>
      <c r="H648" s="14"/>
    </row>
    <row r="649" spans="1:8" ht="21" hidden="1" customHeight="1">
      <c r="A649" s="12"/>
      <c r="B649" s="60" t="e">
        <f>DATA!#REF!</f>
        <v>#REF!</v>
      </c>
      <c r="C649" s="12"/>
      <c r="D649" s="71"/>
      <c r="E649" s="13"/>
      <c r="F649" s="13"/>
      <c r="G649" s="13"/>
      <c r="H649" s="14"/>
    </row>
    <row r="650" spans="1:8" ht="21" hidden="1" customHeight="1">
      <c r="A650" s="12"/>
      <c r="B650" s="60" t="e">
        <f>DATA!#REF!</f>
        <v>#REF!</v>
      </c>
      <c r="C650" s="12"/>
      <c r="D650" s="71"/>
      <c r="E650" s="13"/>
      <c r="F650" s="13"/>
      <c r="G650" s="13"/>
      <c r="H650" s="14"/>
    </row>
    <row r="651" spans="1:8" ht="21" hidden="1" customHeight="1">
      <c r="A651" s="12"/>
      <c r="B651" s="60" t="e">
        <f>DATA!#REF!</f>
        <v>#REF!</v>
      </c>
      <c r="C651" s="12"/>
      <c r="D651" s="71"/>
      <c r="E651" s="13"/>
      <c r="F651" s="13"/>
      <c r="G651" s="13"/>
      <c r="H651" s="14"/>
    </row>
    <row r="652" spans="1:8" ht="21" hidden="1" customHeight="1">
      <c r="A652" s="12"/>
      <c r="B652" s="60" t="str">
        <f>DATA!A650</f>
        <v>Blackmagic HyperDeck Studio 4K Pro</v>
      </c>
      <c r="C652" s="12"/>
      <c r="D652" s="71"/>
      <c r="E652" s="13"/>
      <c r="F652" s="13"/>
      <c r="G652" s="13"/>
      <c r="H652" s="14"/>
    </row>
    <row r="653" spans="1:8" ht="21" hidden="1" customHeight="1">
      <c r="A653" s="12"/>
      <c r="B653" s="60" t="str">
        <f>DATA!A651</f>
        <v>Blackmagic Mini Converter SDI to HDMI 6G</v>
      </c>
      <c r="C653" s="12"/>
      <c r="D653" s="71"/>
      <c r="E653" s="13"/>
      <c r="F653" s="13"/>
      <c r="G653" s="13"/>
      <c r="H653" s="14"/>
    </row>
    <row r="654" spans="1:8" ht="21" hidden="1" customHeight="1">
      <c r="A654" s="12"/>
      <c r="B654" s="60" t="str">
        <f>DATA!A652</f>
        <v>APC Smart-UPS SRT3000RMXLA</v>
      </c>
      <c r="C654" s="12"/>
      <c r="D654" s="71"/>
      <c r="E654" s="13"/>
      <c r="F654" s="13"/>
      <c r="G654" s="13"/>
      <c r="H654" s="14"/>
    </row>
    <row r="655" spans="1:8" ht="21" hidden="1" customHeight="1">
      <c r="A655" s="12"/>
      <c r="B655" s="60" t="str">
        <f>DATA!A653</f>
        <v>CCU Control Panel</v>
      </c>
      <c r="C655" s="12"/>
      <c r="D655" s="71"/>
      <c r="E655" s="13"/>
      <c r="F655" s="13"/>
      <c r="G655" s="13"/>
      <c r="H655" s="14"/>
    </row>
    <row r="656" spans="1:8" ht="21" hidden="1" customHeight="1">
      <c r="A656" s="12"/>
      <c r="B656" s="60" t="str">
        <f>DATA!A654</f>
        <v>Teranex Mini Audio to SDI 12G</v>
      </c>
      <c r="C656" s="12"/>
      <c r="D656" s="71"/>
      <c r="E656" s="13"/>
      <c r="F656" s="13"/>
      <c r="G656" s="13"/>
      <c r="H656" s="14"/>
    </row>
    <row r="657" spans="1:8" ht="21" hidden="1" customHeight="1">
      <c r="A657" s="12"/>
      <c r="B657" s="60" t="str">
        <f>DATA!A655</f>
        <v>Mini Converter SDI to Audio 4K</v>
      </c>
      <c r="C657" s="12"/>
      <c r="D657" s="71"/>
      <c r="E657" s="13"/>
      <c r="F657" s="13"/>
      <c r="G657" s="13"/>
      <c r="H657" s="14"/>
    </row>
    <row r="658" spans="1:8" ht="21" hidden="1" customHeight="1">
      <c r="A658" s="12"/>
      <c r="B658" s="60" t="str">
        <f>DATA!A656</f>
        <v>Behringer Wing</v>
      </c>
      <c r="C658" s="12"/>
      <c r="D658" s="71"/>
      <c r="E658" s="13"/>
      <c r="F658" s="13"/>
      <c r="G658" s="13"/>
      <c r="H658" s="14"/>
    </row>
    <row r="659" spans="1:8" ht="21" hidden="1" customHeight="1">
      <c r="A659" s="12"/>
      <c r="B659" s="60" t="str">
        <f>DATA!A657</f>
        <v>Behringer S32</v>
      </c>
      <c r="C659" s="12"/>
      <c r="D659" s="71"/>
      <c r="E659" s="13"/>
      <c r="F659" s="13"/>
      <c r="G659" s="13"/>
      <c r="H659" s="14"/>
    </row>
    <row r="660" spans="1:8" ht="21" hidden="1" customHeight="1">
      <c r="A660" s="12"/>
      <c r="B660" s="60" t="str">
        <f>DATA!A658</f>
        <v xml:space="preserve">Dante Card ( Optional ) </v>
      </c>
      <c r="C660" s="12"/>
      <c r="D660" s="71"/>
      <c r="E660" s="13"/>
      <c r="F660" s="13"/>
      <c r="G660" s="13"/>
      <c r="H660" s="14"/>
    </row>
    <row r="661" spans="1:8" ht="21" hidden="1" customHeight="1">
      <c r="A661" s="12"/>
      <c r="B661" s="60" t="str">
        <f>DATA!A659</f>
        <v>Studio Talent Sound</v>
      </c>
      <c r="C661" s="12"/>
      <c r="D661" s="71"/>
      <c r="E661" s="13"/>
      <c r="F661" s="13"/>
      <c r="G661" s="13"/>
      <c r="H661" s="14"/>
    </row>
    <row r="662" spans="1:8" ht="21" hidden="1" customHeight="1">
      <c r="A662" s="12"/>
      <c r="B662" s="60" t="str">
        <f>DATA!A660</f>
        <v>DPA 4466 CORE</v>
      </c>
      <c r="C662" s="12"/>
      <c r="D662" s="71"/>
      <c r="E662" s="13"/>
      <c r="F662" s="13"/>
      <c r="G662" s="13"/>
      <c r="H662" s="14"/>
    </row>
    <row r="663" spans="1:8" ht="21" hidden="1" customHeight="1">
      <c r="A663" s="12"/>
      <c r="B663" s="60" t="str">
        <f>DATA!A661</f>
        <v>Sennheiser EW-D SK Q1-6</v>
      </c>
      <c r="C663" s="12"/>
      <c r="D663" s="71"/>
      <c r="E663" s="13"/>
      <c r="F663" s="13"/>
      <c r="G663" s="13"/>
      <c r="H663" s="14"/>
    </row>
    <row r="664" spans="1:8" ht="21" hidden="1" customHeight="1">
      <c r="A664" s="12"/>
      <c r="B664" s="60" t="str">
        <f>DATA!A662</f>
        <v>Sennheiser EW-DX EM 4 Dante Q1-9</v>
      </c>
      <c r="C664" s="12"/>
      <c r="D664" s="71"/>
      <c r="E664" s="13"/>
      <c r="F664" s="13"/>
      <c r="G664" s="13"/>
      <c r="H664" s="14"/>
    </row>
    <row r="665" spans="1:8" ht="21" hidden="1" customHeight="1">
      <c r="A665" s="12"/>
      <c r="B665" s="60" t="str">
        <f>DATA!A663</f>
        <v>Sennheiser SR IEM G4 GB-Band</v>
      </c>
      <c r="C665" s="12"/>
      <c r="D665" s="71"/>
      <c r="E665" s="13"/>
      <c r="F665" s="13"/>
      <c r="G665" s="13"/>
      <c r="H665" s="14"/>
    </row>
    <row r="666" spans="1:8" ht="21" hidden="1" customHeight="1">
      <c r="A666" s="12"/>
      <c r="B666" s="60" t="str">
        <f>DATA!A664</f>
        <v>Shure SE215 Pro CL</v>
      </c>
      <c r="C666" s="12"/>
      <c r="D666" s="71"/>
      <c r="E666" s="13"/>
      <c r="F666" s="13"/>
      <c r="G666" s="13"/>
      <c r="H666" s="14"/>
    </row>
    <row r="667" spans="1:8" ht="21" hidden="1" customHeight="1">
      <c r="A667" s="12"/>
      <c r="B667" s="60" t="str">
        <f>DATA!A665</f>
        <v>KZ ZS10 Pro IEMs</v>
      </c>
      <c r="C667" s="12"/>
      <c r="D667" s="71"/>
      <c r="E667" s="13"/>
      <c r="F667" s="13"/>
      <c r="G667" s="13"/>
      <c r="H667" s="14"/>
    </row>
    <row r="668" spans="1:8" ht="21" hidden="1" customHeight="1">
      <c r="A668" s="12"/>
      <c r="B668" s="60" t="e">
        <f>DATA!#REF!</f>
        <v>#REF!</v>
      </c>
      <c r="C668" s="12"/>
      <c r="D668" s="71"/>
      <c r="E668" s="13"/>
      <c r="F668" s="13"/>
      <c r="G668" s="13"/>
      <c r="H668" s="14"/>
    </row>
    <row r="669" spans="1:8" ht="21" hidden="1" customHeight="1">
      <c r="A669" s="12"/>
      <c r="B669" s="60" t="str">
        <f>DATA!A666</f>
        <v>Sennheiser EW-D SK Q1-6</v>
      </c>
      <c r="C669" s="12"/>
      <c r="D669" s="71"/>
      <c r="E669" s="13"/>
      <c r="F669" s="13"/>
      <c r="G669" s="13"/>
      <c r="H669" s="14"/>
    </row>
    <row r="670" spans="1:8" ht="21" hidden="1" customHeight="1">
      <c r="A670" s="12"/>
      <c r="B670" s="60" t="str">
        <f>DATA!A667</f>
        <v>Sennheiser EW-DX EM 4 Dante Q1-9</v>
      </c>
      <c r="C670" s="12"/>
      <c r="D670" s="71"/>
      <c r="E670" s="13"/>
      <c r="F670" s="13"/>
      <c r="G670" s="13"/>
      <c r="H670" s="14"/>
    </row>
    <row r="671" spans="1:8" ht="21" hidden="1" customHeight="1">
      <c r="A671" s="12"/>
      <c r="B671" s="60" t="str">
        <f>DATA!A668</f>
        <v>Sennheiser SR IEM G4 GB-Band</v>
      </c>
      <c r="C671" s="12"/>
      <c r="D671" s="71"/>
      <c r="E671" s="13"/>
      <c r="F671" s="13"/>
      <c r="G671" s="13"/>
      <c r="H671" s="14"/>
    </row>
    <row r="672" spans="1:8" ht="21" hidden="1" customHeight="1">
      <c r="A672" s="12"/>
      <c r="B672" s="60" t="str">
        <f>DATA!A669</f>
        <v>Shure SE215 Pro CL</v>
      </c>
      <c r="C672" s="12"/>
      <c r="D672" s="71"/>
      <c r="E672" s="13"/>
      <c r="F672" s="13"/>
      <c r="G672" s="13"/>
      <c r="H672" s="14"/>
    </row>
    <row r="673" spans="1:8" ht="21" hidden="1" customHeight="1">
      <c r="A673" s="12"/>
      <c r="B673" s="60" t="str">
        <f>DATA!A670</f>
        <v>Hollyland Solidcom M1-8B</v>
      </c>
      <c r="C673" s="12"/>
      <c r="D673" s="71"/>
      <c r="E673" s="13"/>
      <c r="F673" s="13"/>
      <c r="G673" s="13"/>
      <c r="H673" s="14"/>
    </row>
    <row r="674" spans="1:8" ht="21" hidden="1" customHeight="1">
      <c r="A674" s="12"/>
      <c r="B674" s="60" t="str">
        <f>DATA!A671</f>
        <v>Carlec Brio</v>
      </c>
      <c r="C674" s="12"/>
      <c r="D674" s="71"/>
      <c r="E674" s="13"/>
      <c r="F674" s="13"/>
      <c r="G674" s="13"/>
      <c r="H674" s="14"/>
    </row>
    <row r="675" spans="1:8" ht="21" hidden="1" customHeight="1">
      <c r="A675" s="12"/>
      <c r="B675" s="60" t="str">
        <f>DATA!A672</f>
        <v>brio stagebox</v>
      </c>
      <c r="C675" s="12"/>
      <c r="D675" s="71"/>
      <c r="E675" s="13"/>
      <c r="F675" s="13"/>
      <c r="G675" s="13"/>
      <c r="H675" s="14"/>
    </row>
    <row r="676" spans="1:8" ht="21" hidden="1" customHeight="1">
      <c r="A676" s="12"/>
      <c r="B676" s="60" t="str">
        <f>DATA!A673</f>
        <v>Madi Card</v>
      </c>
      <c r="C676" s="12"/>
      <c r="D676" s="71"/>
      <c r="E676" s="13"/>
      <c r="F676" s="13"/>
      <c r="G676" s="13"/>
      <c r="H676" s="14"/>
    </row>
    <row r="677" spans="1:8" ht="21" hidden="1" customHeight="1">
      <c r="A677" s="12"/>
      <c r="B677" s="60" t="str">
        <f>DATA!A674</f>
        <v>Studio Taland Box</v>
      </c>
      <c r="C677" s="12"/>
      <c r="D677" s="71"/>
      <c r="E677" s="13"/>
      <c r="F677" s="13"/>
      <c r="G677" s="13"/>
      <c r="H677" s="14"/>
    </row>
    <row r="678" spans="1:8" ht="21" hidden="1" customHeight="1">
      <c r="A678" s="12"/>
      <c r="B678" s="60" t="str">
        <f>DATA!A675</f>
        <v>DPA 4488</v>
      </c>
      <c r="C678" s="12"/>
      <c r="D678" s="71"/>
      <c r="E678" s="13"/>
      <c r="F678" s="13"/>
      <c r="G678" s="13"/>
      <c r="H678" s="14"/>
    </row>
    <row r="679" spans="1:8" ht="21" hidden="1" customHeight="1">
      <c r="A679" s="12"/>
      <c r="B679" s="60" t="str">
        <f>DATA!A676</f>
        <v>Sennheiser SK500 G4 B-Band</v>
      </c>
      <c r="C679" s="12"/>
      <c r="D679" s="71"/>
      <c r="E679" s="13"/>
      <c r="F679" s="13"/>
      <c r="G679" s="13"/>
      <c r="H679" s="14"/>
    </row>
    <row r="680" spans="1:8" ht="21" hidden="1" customHeight="1">
      <c r="A680" s="12"/>
      <c r="B680" s="60" t="str">
        <f>DATA!A677</f>
        <v>Sennheiser EM 300-500 G4 BW Band</v>
      </c>
      <c r="C680" s="12"/>
      <c r="D680" s="71"/>
      <c r="E680" s="13"/>
      <c r="F680" s="13"/>
      <c r="G680" s="13"/>
      <c r="H680" s="14"/>
    </row>
    <row r="681" spans="1:8" ht="21" hidden="1" customHeight="1">
      <c r="A681" s="12"/>
      <c r="B681" s="60" t="str">
        <f>DATA!A678</f>
        <v>Sennheiser EW IEM G4 B-Band</v>
      </c>
      <c r="C681" s="12"/>
      <c r="D681" s="71"/>
      <c r="E681" s="13"/>
      <c r="F681" s="13"/>
      <c r="G681" s="13"/>
      <c r="H681" s="14"/>
    </row>
    <row r="682" spans="1:8" ht="21" hidden="1" customHeight="1">
      <c r="A682" s="12"/>
      <c r="B682" s="60" t="str">
        <f>DATA!A679</f>
        <v>Audio Impliment in -ear</v>
      </c>
      <c r="C682" s="12"/>
      <c r="D682" s="71"/>
      <c r="E682" s="13"/>
      <c r="F682" s="13"/>
      <c r="G682" s="13"/>
      <c r="H682" s="14"/>
    </row>
    <row r="683" spans="1:8" ht="21" hidden="1" customHeight="1">
      <c r="A683" s="12"/>
      <c r="B683" s="60" t="str">
        <f>DATA!A680</f>
        <v>Sennheiser LE 100 Pro</v>
      </c>
      <c r="C683" s="12"/>
      <c r="D683" s="71"/>
      <c r="E683" s="13"/>
      <c r="F683" s="13"/>
      <c r="G683" s="13"/>
      <c r="H683" s="14"/>
    </row>
    <row r="684" spans="1:8" ht="21" hidden="1" customHeight="1">
      <c r="A684" s="12"/>
      <c r="B684" s="60" t="str">
        <f>DATA!A681</f>
        <v>Spira Water Botte - White</v>
      </c>
      <c r="C684" s="12"/>
      <c r="D684" s="71"/>
      <c r="E684" s="13"/>
      <c r="F684" s="13"/>
      <c r="G684" s="13"/>
      <c r="H684" s="14"/>
    </row>
    <row r="685" spans="1:8" ht="21" hidden="1" customHeight="1">
      <c r="A685" s="12"/>
      <c r="B685" s="60" t="str">
        <f>DATA!A682</f>
        <v xml:space="preserve">SPIRASTRING BAG </v>
      </c>
      <c r="C685" s="12"/>
      <c r="D685" s="71"/>
      <c r="E685" s="13"/>
      <c r="F685" s="13"/>
      <c r="G685" s="13"/>
      <c r="H685" s="14"/>
    </row>
    <row r="686" spans="1:8" ht="21" hidden="1" customHeight="1">
      <c r="A686" s="12"/>
      <c r="B686" s="60" t="str">
        <f>DATA!A683</f>
        <v>Account Manager</v>
      </c>
      <c r="C686" s="12"/>
      <c r="D686" s="71"/>
      <c r="E686" s="13"/>
      <c r="F686" s="13"/>
      <c r="G686" s="13"/>
      <c r="H686" s="14"/>
    </row>
    <row r="687" spans="1:8" ht="21" hidden="1" customHeight="1">
      <c r="A687" s="12"/>
      <c r="B687" s="60">
        <f>DATA!A684</f>
        <v>0</v>
      </c>
      <c r="C687" s="12"/>
      <c r="D687" s="71"/>
      <c r="E687" s="13"/>
      <c r="F687" s="13"/>
      <c r="G687" s="13"/>
      <c r="H687" s="14"/>
    </row>
    <row r="688" spans="1:8" ht="21" hidden="1" customHeight="1">
      <c r="A688" s="12"/>
      <c r="B688" s="60">
        <f>DATA!A685</f>
        <v>0</v>
      </c>
      <c r="C688" s="12"/>
      <c r="D688" s="71"/>
      <c r="E688" s="13"/>
      <c r="F688" s="13"/>
      <c r="G688" s="13"/>
      <c r="H688" s="14"/>
    </row>
    <row r="689" spans="1:8" ht="21" hidden="1" customHeight="1">
      <c r="A689" s="12"/>
      <c r="B689" s="60">
        <f>DATA!A686</f>
        <v>0</v>
      </c>
      <c r="C689" s="12"/>
      <c r="D689" s="71"/>
      <c r="E689" s="13"/>
      <c r="F689" s="13"/>
      <c r="G689" s="13"/>
      <c r="H689" s="14"/>
    </row>
    <row r="690" spans="1:8" ht="21" hidden="1" customHeight="1">
      <c r="A690" s="12"/>
      <c r="B690" s="60">
        <f>DATA!A687</f>
        <v>0</v>
      </c>
      <c r="C690" s="12"/>
      <c r="D690" s="71"/>
      <c r="E690" s="13"/>
      <c r="F690" s="13"/>
      <c r="G690" s="13"/>
      <c r="H690" s="14"/>
    </row>
    <row r="691" spans="1:8" ht="21" hidden="1" customHeight="1">
      <c r="A691" s="12"/>
      <c r="B691" s="60">
        <f>DATA!A688</f>
        <v>0</v>
      </c>
      <c r="C691" s="12"/>
      <c r="D691" s="71"/>
      <c r="E691" s="13"/>
      <c r="F691" s="13"/>
      <c r="G691" s="13"/>
      <c r="H691" s="14"/>
    </row>
    <row r="692" spans="1:8" ht="21" hidden="1" customHeight="1">
      <c r="A692" s="12"/>
      <c r="B692" s="60">
        <f>DATA!A689</f>
        <v>0</v>
      </c>
      <c r="C692" s="12"/>
      <c r="D692" s="71"/>
      <c r="E692" s="13"/>
      <c r="F692" s="13"/>
      <c r="G692" s="13"/>
      <c r="H692" s="14"/>
    </row>
    <row r="693" spans="1:8" ht="21" hidden="1" customHeight="1">
      <c r="A693" s="12"/>
      <c r="B693" s="60">
        <f>DATA!A690</f>
        <v>0</v>
      </c>
      <c r="C693" s="12"/>
      <c r="D693" s="71"/>
      <c r="E693" s="13"/>
      <c r="F693" s="13"/>
      <c r="G693" s="13"/>
      <c r="H693" s="14"/>
    </row>
    <row r="694" spans="1:8" ht="21" hidden="1" customHeight="1">
      <c r="A694" s="12"/>
      <c r="B694" s="60">
        <f>DATA!A691</f>
        <v>0</v>
      </c>
      <c r="C694" s="12"/>
      <c r="D694" s="71"/>
      <c r="E694" s="13"/>
      <c r="F694" s="13"/>
      <c r="G694" s="13"/>
      <c r="H694" s="14"/>
    </row>
    <row r="695" spans="1:8" ht="21" hidden="1" customHeight="1">
      <c r="A695" s="12"/>
      <c r="B695" s="60">
        <f>DATA!A692</f>
        <v>0</v>
      </c>
      <c r="C695" s="12"/>
      <c r="D695" s="71"/>
      <c r="E695" s="13"/>
      <c r="F695" s="13"/>
      <c r="G695" s="13"/>
      <c r="H695" s="14"/>
    </row>
    <row r="696" spans="1:8" ht="21" hidden="1" customHeight="1">
      <c r="A696" s="12"/>
      <c r="B696" s="60">
        <f>DATA!A693</f>
        <v>0</v>
      </c>
      <c r="C696" s="12"/>
      <c r="D696" s="71"/>
      <c r="E696" s="13"/>
      <c r="F696" s="13"/>
      <c r="G696" s="13"/>
      <c r="H696" s="14"/>
    </row>
    <row r="697" spans="1:8" ht="21" hidden="1" customHeight="1">
      <c r="A697" s="12"/>
      <c r="B697" s="60">
        <f>DATA!A694</f>
        <v>0</v>
      </c>
      <c r="C697" s="12"/>
      <c r="D697" s="71"/>
      <c r="E697" s="13"/>
      <c r="F697" s="13"/>
      <c r="G697" s="13"/>
      <c r="H697" s="14"/>
    </row>
    <row r="698" spans="1:8" ht="21" hidden="1" customHeight="1">
      <c r="A698" s="12"/>
      <c r="B698" s="60">
        <f>DATA!A695</f>
        <v>0</v>
      </c>
      <c r="C698" s="12"/>
      <c r="D698" s="71"/>
      <c r="E698" s="13"/>
      <c r="F698" s="13"/>
      <c r="G698" s="13"/>
      <c r="H698" s="14"/>
    </row>
    <row r="699" spans="1:8" ht="21" hidden="1" customHeight="1">
      <c r="A699" s="12"/>
      <c r="B699" s="60">
        <f>DATA!A696</f>
        <v>0</v>
      </c>
      <c r="C699" s="12"/>
      <c r="D699" s="71"/>
      <c r="E699" s="13"/>
      <c r="F699" s="13"/>
      <c r="G699" s="13"/>
      <c r="H699" s="14"/>
    </row>
    <row r="700" spans="1:8" ht="21" hidden="1" customHeight="1">
      <c r="A700" s="12"/>
      <c r="B700" s="60">
        <f>DATA!A697</f>
        <v>0</v>
      </c>
      <c r="C700" s="12"/>
      <c r="D700" s="71"/>
      <c r="E700" s="13"/>
      <c r="F700" s="13"/>
      <c r="G700" s="13"/>
      <c r="H700" s="14"/>
    </row>
    <row r="701" spans="1:8" ht="21" hidden="1" customHeight="1">
      <c r="A701" s="12"/>
      <c r="B701" s="60">
        <f>DATA!A698</f>
        <v>0</v>
      </c>
      <c r="C701" s="12"/>
      <c r="D701" s="71"/>
      <c r="E701" s="13"/>
      <c r="F701" s="13"/>
      <c r="G701" s="13"/>
      <c r="H701" s="14"/>
    </row>
    <row r="702" spans="1:8">
      <c r="A702" s="75"/>
      <c r="B702" s="199" t="s">
        <v>1109</v>
      </c>
      <c r="C702" s="75"/>
      <c r="D702" s="76"/>
      <c r="E702" s="77" t="str">
        <f>IFERROR(VLOOKUP(B702,PRICELIST[],2,FALSE),"")</f>
        <v/>
      </c>
      <c r="F702" s="77"/>
      <c r="G702" s="77" t="str">
        <f>IFERROR((E702-F702),"")</f>
        <v/>
      </c>
      <c r="H702" s="78" t="str">
        <f t="shared" ref="H702:H705" si="0">IFERROR((C702*D702*G702),"")</f>
        <v/>
      </c>
    </row>
    <row r="703" spans="1:8">
      <c r="A703" s="75">
        <f>IFERROR(IF(B703&gt;1,(A702+1),""),"")</f>
        <v>1</v>
      </c>
      <c r="B703" s="109" t="s">
        <v>345</v>
      </c>
      <c r="C703" s="75">
        <v>13</v>
      </c>
      <c r="D703" s="76">
        <v>1</v>
      </c>
      <c r="E703" s="77">
        <f>IFERROR(VLOOKUP(B703,PRICELIST[],2,FALSE),"")</f>
        <v>1500</v>
      </c>
      <c r="F703" s="77">
        <v>0</v>
      </c>
      <c r="G703" s="77">
        <f t="shared" ref="G703:G743" si="1">IFERROR((E703-F703),"")</f>
        <v>1500</v>
      </c>
      <c r="H703" s="78">
        <f t="shared" si="0"/>
        <v>19500</v>
      </c>
    </row>
    <row r="704" spans="1:8">
      <c r="A704" s="75">
        <f t="shared" ref="A704:A744" si="2">IFERROR(IF(B704&gt;1,(A703+1),""),"")</f>
        <v>2</v>
      </c>
      <c r="B704" s="74" t="s">
        <v>650</v>
      </c>
      <c r="C704" s="75">
        <v>13</v>
      </c>
      <c r="D704" s="76">
        <v>1</v>
      </c>
      <c r="E704" s="77">
        <f>IFERROR(VLOOKUP(B704,PRICELIST[],2,FALSE),"")</f>
        <v>1500</v>
      </c>
      <c r="F704" s="77">
        <v>0</v>
      </c>
      <c r="G704" s="77">
        <f t="shared" si="1"/>
        <v>1500</v>
      </c>
      <c r="H704" s="78">
        <f t="shared" si="0"/>
        <v>19500</v>
      </c>
    </row>
    <row r="705" spans="1:8">
      <c r="A705" s="75">
        <f t="shared" si="2"/>
        <v>3</v>
      </c>
      <c r="B705" s="74" t="s">
        <v>1110</v>
      </c>
      <c r="C705" s="75">
        <v>13</v>
      </c>
      <c r="D705" s="76">
        <v>1</v>
      </c>
      <c r="E705" s="77">
        <f>IFERROR(VLOOKUP(B705,PRICELIST[],2,FALSE),"")</f>
        <v>2500</v>
      </c>
      <c r="F705" s="77">
        <v>0</v>
      </c>
      <c r="G705" s="77">
        <f t="shared" si="1"/>
        <v>2500</v>
      </c>
      <c r="H705" s="78">
        <f t="shared" si="0"/>
        <v>32500</v>
      </c>
    </row>
    <row r="706" spans="1:8">
      <c r="A706" s="75">
        <f t="shared" si="2"/>
        <v>4</v>
      </c>
      <c r="B706" s="74" t="s">
        <v>346</v>
      </c>
      <c r="C706" s="75">
        <v>13</v>
      </c>
      <c r="D706" s="76">
        <v>1</v>
      </c>
      <c r="E706" s="77">
        <f>IFERROR(VLOOKUP(B706,PRICELIST[],2,FALSE),"")</f>
        <v>2500</v>
      </c>
      <c r="F706" s="77">
        <v>0</v>
      </c>
      <c r="G706" s="77">
        <f t="shared" si="1"/>
        <v>2500</v>
      </c>
      <c r="H706" s="78">
        <f>IFERROR((C706*D706*G706),"")</f>
        <v>32500</v>
      </c>
    </row>
    <row r="707" spans="1:8">
      <c r="A707" s="75">
        <f t="shared" si="2"/>
        <v>5</v>
      </c>
      <c r="B707" s="74" t="s">
        <v>469</v>
      </c>
      <c r="C707" s="75">
        <v>13</v>
      </c>
      <c r="D707" s="76">
        <v>1</v>
      </c>
      <c r="E707" s="77">
        <f>IFERROR(VLOOKUP(B707,PRICELIST[],2,FALSE),"")</f>
        <v>2000</v>
      </c>
      <c r="F707" s="77">
        <v>0</v>
      </c>
      <c r="G707" s="77">
        <f t="shared" si="1"/>
        <v>2000</v>
      </c>
      <c r="H707" s="78">
        <f t="shared" ref="H707:H743" si="3">IFERROR((C707*D707*E707),"")</f>
        <v>26000</v>
      </c>
    </row>
    <row r="708" spans="1:8">
      <c r="A708" s="75"/>
      <c r="B708" s="200" t="s">
        <v>1111</v>
      </c>
      <c r="C708" s="75"/>
      <c r="D708" s="76"/>
      <c r="E708" s="77" t="str">
        <f>IFERROR(VLOOKUP(B708,PRICELIST[],2,FALSE),"")</f>
        <v/>
      </c>
      <c r="F708" s="77"/>
      <c r="G708" s="77" t="str">
        <f t="shared" si="1"/>
        <v/>
      </c>
      <c r="H708" s="78" t="str">
        <f t="shared" si="3"/>
        <v/>
      </c>
    </row>
    <row r="709" spans="1:8">
      <c r="A709" s="75">
        <f t="shared" si="2"/>
        <v>1</v>
      </c>
      <c r="B709" s="74" t="s">
        <v>270</v>
      </c>
      <c r="C709" s="75"/>
      <c r="D709" s="76"/>
      <c r="E709" s="77">
        <f>IFERROR(VLOOKUP(B709,PRICELIST[],2,FALSE),"")</f>
        <v>3000</v>
      </c>
      <c r="F709" s="77"/>
      <c r="G709" s="77">
        <f t="shared" si="1"/>
        <v>3000</v>
      </c>
      <c r="H709" s="78">
        <f t="shared" si="3"/>
        <v>0</v>
      </c>
    </row>
    <row r="710" spans="1:8">
      <c r="A710" s="75">
        <f t="shared" si="2"/>
        <v>2</v>
      </c>
      <c r="B710" s="74" t="s">
        <v>287</v>
      </c>
      <c r="C710" s="75"/>
      <c r="D710" s="76"/>
      <c r="E710" s="77">
        <f>IFERROR(VLOOKUP(B710,PRICELIST[],2,FALSE),"")</f>
        <v>2500</v>
      </c>
      <c r="F710" s="77"/>
      <c r="G710" s="77">
        <f t="shared" si="1"/>
        <v>2500</v>
      </c>
      <c r="H710" s="78">
        <f t="shared" si="3"/>
        <v>0</v>
      </c>
    </row>
    <row r="711" spans="1:8">
      <c r="A711" s="75">
        <f t="shared" si="2"/>
        <v>3</v>
      </c>
      <c r="B711" s="74" t="s">
        <v>190</v>
      </c>
      <c r="C711" s="75"/>
      <c r="D711" s="76"/>
      <c r="E711" s="77">
        <f>IFERROR(VLOOKUP(B711,PRICELIST[],2,FALSE),"")</f>
        <v>500</v>
      </c>
      <c r="F711" s="77"/>
      <c r="G711" s="77">
        <f t="shared" si="1"/>
        <v>500</v>
      </c>
      <c r="H711" s="78">
        <f t="shared" si="3"/>
        <v>0</v>
      </c>
    </row>
    <row r="712" spans="1:8">
      <c r="A712" s="75">
        <f t="shared" si="2"/>
        <v>4</v>
      </c>
      <c r="B712" s="74" t="s">
        <v>539</v>
      </c>
      <c r="C712" s="75"/>
      <c r="D712" s="76"/>
      <c r="E712" s="77">
        <f>IFERROR(VLOOKUP(B712,PRICELIST[],2,FALSE),"")</f>
        <v>1500</v>
      </c>
      <c r="F712" s="77"/>
      <c r="G712" s="77">
        <f t="shared" si="1"/>
        <v>1500</v>
      </c>
      <c r="H712" s="78">
        <f t="shared" si="3"/>
        <v>0</v>
      </c>
    </row>
    <row r="713" spans="1:8">
      <c r="A713" s="75">
        <f t="shared" si="2"/>
        <v>5</v>
      </c>
      <c r="B713" s="74" t="s">
        <v>466</v>
      </c>
      <c r="C713" s="75"/>
      <c r="D713" s="76"/>
      <c r="E713" s="77">
        <f>IFERROR(VLOOKUP(B713,PRICELIST[],2,FALSE),"")</f>
        <v>1000</v>
      </c>
      <c r="F713" s="77"/>
      <c r="G713" s="77">
        <f t="shared" si="1"/>
        <v>1000</v>
      </c>
      <c r="H713" s="78">
        <f t="shared" si="3"/>
        <v>0</v>
      </c>
    </row>
    <row r="714" spans="1:8" ht="18.75" customHeight="1">
      <c r="A714" s="75"/>
      <c r="B714" s="201" t="s">
        <v>1112</v>
      </c>
      <c r="C714" s="75"/>
      <c r="D714" s="76"/>
      <c r="E714" s="77" t="str">
        <f>IFERROR(VLOOKUP(B714,PRICELIST[],2,FALSE),"")</f>
        <v/>
      </c>
      <c r="F714" s="77"/>
      <c r="G714" s="77" t="str">
        <f t="shared" si="1"/>
        <v/>
      </c>
      <c r="H714" s="78" t="str">
        <f t="shared" si="3"/>
        <v/>
      </c>
    </row>
    <row r="715" spans="1:8">
      <c r="A715" s="75">
        <f t="shared" si="2"/>
        <v>1</v>
      </c>
      <c r="B715" s="74" t="s">
        <v>645</v>
      </c>
      <c r="C715" s="75"/>
      <c r="D715" s="76"/>
      <c r="E715" s="77">
        <f>IFERROR(VLOOKUP(B715,PRICELIST[],2,FALSE),"")</f>
        <v>1500</v>
      </c>
      <c r="F715" s="77"/>
      <c r="G715" s="77">
        <f t="shared" si="1"/>
        <v>1500</v>
      </c>
      <c r="H715" s="78">
        <f t="shared" si="3"/>
        <v>0</v>
      </c>
    </row>
    <row r="716" spans="1:8">
      <c r="A716" s="75">
        <f t="shared" si="2"/>
        <v>2</v>
      </c>
      <c r="B716" s="74" t="s">
        <v>651</v>
      </c>
      <c r="C716" s="75"/>
      <c r="D716" s="76"/>
      <c r="E716" s="77">
        <f>IFERROR(VLOOKUP(B716,PRICELIST[],2,FALSE),"")</f>
        <v>2000</v>
      </c>
      <c r="F716" s="77"/>
      <c r="G716" s="77">
        <f t="shared" si="1"/>
        <v>2000</v>
      </c>
      <c r="H716" s="78">
        <f t="shared" si="3"/>
        <v>0</v>
      </c>
    </row>
    <row r="717" spans="1:8">
      <c r="A717" s="75">
        <f t="shared" si="2"/>
        <v>3</v>
      </c>
      <c r="B717" s="74" t="s">
        <v>1114</v>
      </c>
      <c r="C717" s="75"/>
      <c r="D717" s="76"/>
      <c r="E717" s="77" t="str">
        <f>IFERROR(VLOOKUP(B717,PRICELIST[],2,FALSE),"")</f>
        <v/>
      </c>
      <c r="F717" s="77"/>
      <c r="G717" s="77" t="str">
        <f t="shared" si="1"/>
        <v/>
      </c>
      <c r="H717" s="78" t="str">
        <f t="shared" si="3"/>
        <v/>
      </c>
    </row>
    <row r="718" spans="1:8">
      <c r="A718" s="75" t="str">
        <f t="shared" si="2"/>
        <v/>
      </c>
      <c r="B718" s="74"/>
      <c r="C718" s="75"/>
      <c r="D718" s="76"/>
      <c r="E718" s="77" t="str">
        <f>IFERROR(VLOOKUP(B718,PRICELIST[],2,FALSE),"")</f>
        <v/>
      </c>
      <c r="F718" s="77"/>
      <c r="G718" s="77" t="str">
        <f t="shared" si="1"/>
        <v/>
      </c>
      <c r="H718" s="78" t="str">
        <f t="shared" si="3"/>
        <v/>
      </c>
    </row>
    <row r="719" spans="1:8">
      <c r="A719" s="75" t="str">
        <f t="shared" si="2"/>
        <v/>
      </c>
      <c r="B719" s="74"/>
      <c r="C719" s="75"/>
      <c r="D719" s="76"/>
      <c r="E719" s="77" t="str">
        <f>IFERROR(VLOOKUP(B719,PRICELIST[],2,FALSE),"")</f>
        <v/>
      </c>
      <c r="F719" s="77"/>
      <c r="G719" s="77" t="str">
        <f t="shared" si="1"/>
        <v/>
      </c>
      <c r="H719" s="78" t="str">
        <f t="shared" si="3"/>
        <v/>
      </c>
    </row>
    <row r="720" spans="1:8">
      <c r="A720" s="75" t="str">
        <f t="shared" si="2"/>
        <v/>
      </c>
      <c r="B720" s="74"/>
      <c r="C720" s="75"/>
      <c r="D720" s="76"/>
      <c r="E720" s="77" t="str">
        <f>IFERROR(VLOOKUP(B720,PRICELIST[],2,FALSE),"")</f>
        <v/>
      </c>
      <c r="F720" s="77"/>
      <c r="G720" s="77" t="str">
        <f t="shared" si="1"/>
        <v/>
      </c>
      <c r="H720" s="78" t="str">
        <f t="shared" si="3"/>
        <v/>
      </c>
    </row>
    <row r="721" spans="1:8">
      <c r="A721" s="75" t="str">
        <f t="shared" si="2"/>
        <v/>
      </c>
      <c r="B721" s="74"/>
      <c r="C721" s="75"/>
      <c r="D721" s="76"/>
      <c r="E721" s="77" t="str">
        <f>IFERROR(VLOOKUP(B721,PRICELIST[],2,FALSE),"")</f>
        <v/>
      </c>
      <c r="F721" s="77"/>
      <c r="G721" s="77" t="str">
        <f t="shared" si="1"/>
        <v/>
      </c>
      <c r="H721" s="78" t="str">
        <f t="shared" si="3"/>
        <v/>
      </c>
    </row>
    <row r="722" spans="1:8">
      <c r="A722" s="75" t="str">
        <f t="shared" si="2"/>
        <v/>
      </c>
      <c r="B722" s="74"/>
      <c r="C722" s="75"/>
      <c r="D722" s="76"/>
      <c r="E722" s="77" t="str">
        <f>IFERROR(VLOOKUP(B722,PRICELIST[],2,FALSE),"")</f>
        <v/>
      </c>
      <c r="F722" s="77"/>
      <c r="G722" s="77" t="str">
        <f t="shared" si="1"/>
        <v/>
      </c>
      <c r="H722" s="78" t="str">
        <f t="shared" si="3"/>
        <v/>
      </c>
    </row>
    <row r="723" spans="1:8">
      <c r="A723" s="75" t="str">
        <f t="shared" si="2"/>
        <v/>
      </c>
      <c r="B723" s="74"/>
      <c r="C723" s="75"/>
      <c r="D723" s="76"/>
      <c r="E723" s="77" t="str">
        <f>IFERROR(VLOOKUP(B723,PRICELIST[],2,FALSE),"")</f>
        <v/>
      </c>
      <c r="F723" s="77"/>
      <c r="G723" s="77" t="str">
        <f t="shared" si="1"/>
        <v/>
      </c>
      <c r="H723" s="78" t="str">
        <f t="shared" si="3"/>
        <v/>
      </c>
    </row>
    <row r="724" spans="1:8">
      <c r="A724" s="75" t="str">
        <f t="shared" si="2"/>
        <v/>
      </c>
      <c r="B724" s="74"/>
      <c r="C724" s="75"/>
      <c r="D724" s="76"/>
      <c r="E724" s="77" t="str">
        <f>IFERROR(VLOOKUP(B724,PRICELIST[],2,FALSE),"")</f>
        <v/>
      </c>
      <c r="F724" s="77"/>
      <c r="G724" s="77" t="str">
        <f t="shared" si="1"/>
        <v/>
      </c>
      <c r="H724" s="78" t="str">
        <f t="shared" si="3"/>
        <v/>
      </c>
    </row>
    <row r="725" spans="1:8">
      <c r="A725" s="75" t="str">
        <f t="shared" si="2"/>
        <v/>
      </c>
      <c r="B725" s="74"/>
      <c r="C725" s="75"/>
      <c r="D725" s="76"/>
      <c r="E725" s="77" t="str">
        <f>IFERROR(VLOOKUP(B725,PRICELIST[],2,FALSE),"")</f>
        <v/>
      </c>
      <c r="F725" s="77"/>
      <c r="G725" s="77" t="str">
        <f t="shared" si="1"/>
        <v/>
      </c>
      <c r="H725" s="78" t="str">
        <f t="shared" si="3"/>
        <v/>
      </c>
    </row>
    <row r="726" spans="1:8">
      <c r="A726" s="75" t="str">
        <f t="shared" si="2"/>
        <v/>
      </c>
      <c r="B726" s="74"/>
      <c r="C726" s="75"/>
      <c r="D726" s="76"/>
      <c r="E726" s="77" t="str">
        <f>IFERROR(VLOOKUP(B726,PRICELIST[],2,FALSE),"")</f>
        <v/>
      </c>
      <c r="F726" s="77"/>
      <c r="G726" s="77" t="str">
        <f t="shared" si="1"/>
        <v/>
      </c>
      <c r="H726" s="78" t="str">
        <f t="shared" si="3"/>
        <v/>
      </c>
    </row>
    <row r="727" spans="1:8">
      <c r="A727" s="75" t="str">
        <f t="shared" si="2"/>
        <v/>
      </c>
      <c r="B727" s="74"/>
      <c r="C727" s="75"/>
      <c r="D727" s="76"/>
      <c r="E727" s="77" t="str">
        <f>IFERROR(VLOOKUP(B727,PRICELIST[],2,FALSE),"")</f>
        <v/>
      </c>
      <c r="F727" s="77"/>
      <c r="G727" s="77" t="str">
        <f t="shared" si="1"/>
        <v/>
      </c>
      <c r="H727" s="78" t="str">
        <f t="shared" si="3"/>
        <v/>
      </c>
    </row>
    <row r="728" spans="1:8">
      <c r="A728" s="75" t="str">
        <f t="shared" si="2"/>
        <v/>
      </c>
      <c r="B728" s="74"/>
      <c r="C728" s="75"/>
      <c r="D728" s="76"/>
      <c r="E728" s="77" t="str">
        <f>IFERROR(VLOOKUP(B728,PRICELIST[],2,FALSE),"")</f>
        <v/>
      </c>
      <c r="F728" s="77"/>
      <c r="G728" s="77" t="str">
        <f t="shared" si="1"/>
        <v/>
      </c>
      <c r="H728" s="78" t="str">
        <f t="shared" si="3"/>
        <v/>
      </c>
    </row>
    <row r="729" spans="1:8">
      <c r="A729" s="75" t="str">
        <f t="shared" si="2"/>
        <v/>
      </c>
      <c r="B729" s="74"/>
      <c r="C729" s="75"/>
      <c r="D729" s="76"/>
      <c r="E729" s="77" t="str">
        <f>IFERROR(VLOOKUP(B729,PRICELIST[],2,FALSE),"")</f>
        <v/>
      </c>
      <c r="F729" s="77"/>
      <c r="G729" s="77" t="str">
        <f t="shared" si="1"/>
        <v/>
      </c>
      <c r="H729" s="78" t="str">
        <f t="shared" si="3"/>
        <v/>
      </c>
    </row>
    <row r="730" spans="1:8">
      <c r="A730" s="75" t="str">
        <f t="shared" si="2"/>
        <v/>
      </c>
      <c r="B730" s="74"/>
      <c r="C730" s="75"/>
      <c r="D730" s="76"/>
      <c r="E730" s="77" t="str">
        <f>IFERROR(VLOOKUP(B730,PRICELIST[],2,FALSE),"")</f>
        <v/>
      </c>
      <c r="F730" s="77"/>
      <c r="G730" s="77" t="str">
        <f t="shared" si="1"/>
        <v/>
      </c>
      <c r="H730" s="78" t="str">
        <f t="shared" si="3"/>
        <v/>
      </c>
    </row>
    <row r="731" spans="1:8">
      <c r="A731" s="75" t="str">
        <f t="shared" si="2"/>
        <v/>
      </c>
      <c r="B731" s="74"/>
      <c r="C731" s="75"/>
      <c r="D731" s="76"/>
      <c r="E731" s="77"/>
      <c r="F731" s="77"/>
      <c r="G731" s="77"/>
      <c r="H731" s="78"/>
    </row>
    <row r="732" spans="1:8">
      <c r="A732" s="75" t="str">
        <f t="shared" si="2"/>
        <v/>
      </c>
      <c r="B732" s="74"/>
      <c r="C732" s="75"/>
      <c r="D732" s="76"/>
      <c r="E732" s="77"/>
      <c r="F732" s="77"/>
      <c r="G732" s="77"/>
      <c r="H732" s="78"/>
    </row>
    <row r="733" spans="1:8">
      <c r="A733" s="75" t="str">
        <f t="shared" si="2"/>
        <v/>
      </c>
      <c r="B733" s="74"/>
      <c r="C733" s="75"/>
      <c r="D733" s="76"/>
      <c r="E733" s="77"/>
      <c r="F733" s="77"/>
      <c r="G733" s="77"/>
      <c r="H733" s="78"/>
    </row>
    <row r="734" spans="1:8">
      <c r="A734" s="75" t="str">
        <f t="shared" si="2"/>
        <v/>
      </c>
      <c r="B734" s="74"/>
      <c r="C734" s="75"/>
      <c r="D734" s="76"/>
      <c r="E734" s="77"/>
      <c r="F734" s="77"/>
      <c r="G734" s="77"/>
      <c r="H734" s="78"/>
    </row>
    <row r="735" spans="1:8">
      <c r="A735" s="75" t="str">
        <f t="shared" si="2"/>
        <v/>
      </c>
      <c r="B735" s="74"/>
      <c r="C735" s="75"/>
      <c r="D735" s="76"/>
      <c r="E735" s="77"/>
      <c r="F735" s="77"/>
      <c r="G735" s="77"/>
      <c r="H735" s="78"/>
    </row>
    <row r="736" spans="1:8">
      <c r="A736" s="75" t="str">
        <f t="shared" si="2"/>
        <v/>
      </c>
      <c r="B736" s="74"/>
      <c r="C736" s="75"/>
      <c r="D736" s="76"/>
      <c r="E736" s="77"/>
      <c r="F736" s="77"/>
      <c r="G736" s="77"/>
      <c r="H736" s="78"/>
    </row>
    <row r="737" spans="1:8">
      <c r="A737" s="75" t="str">
        <f t="shared" si="2"/>
        <v/>
      </c>
      <c r="B737" s="74"/>
      <c r="C737" s="75"/>
      <c r="D737" s="76"/>
      <c r="E737" s="77"/>
      <c r="F737" s="77"/>
      <c r="G737" s="77"/>
      <c r="H737" s="78"/>
    </row>
    <row r="738" spans="1:8">
      <c r="A738" s="75" t="str">
        <f t="shared" si="2"/>
        <v/>
      </c>
      <c r="B738" s="74"/>
      <c r="C738" s="75"/>
      <c r="D738" s="76"/>
      <c r="E738" s="77"/>
      <c r="F738" s="77"/>
      <c r="G738" s="77"/>
      <c r="H738" s="78"/>
    </row>
    <row r="739" spans="1:8">
      <c r="A739" s="75" t="str">
        <f t="shared" si="2"/>
        <v/>
      </c>
      <c r="B739" s="74"/>
      <c r="C739" s="75"/>
      <c r="D739" s="76"/>
      <c r="E739" s="77"/>
      <c r="F739" s="77"/>
      <c r="G739" s="77"/>
      <c r="H739" s="78"/>
    </row>
    <row r="740" spans="1:8">
      <c r="A740" s="75" t="str">
        <f t="shared" si="2"/>
        <v/>
      </c>
      <c r="B740" s="74"/>
      <c r="C740" s="75"/>
      <c r="D740" s="76"/>
      <c r="E740" s="77"/>
      <c r="F740" s="77"/>
      <c r="G740" s="77"/>
      <c r="H740" s="78"/>
    </row>
    <row r="741" spans="1:8">
      <c r="A741" s="75" t="str">
        <f t="shared" si="2"/>
        <v/>
      </c>
      <c r="B741" s="74"/>
      <c r="C741" s="75"/>
      <c r="D741" s="76"/>
      <c r="E741" s="77"/>
      <c r="F741" s="77"/>
      <c r="G741" s="77"/>
      <c r="H741" s="78"/>
    </row>
    <row r="742" spans="1:8">
      <c r="A742" s="75" t="str">
        <f t="shared" si="2"/>
        <v/>
      </c>
      <c r="B742" s="74"/>
      <c r="C742" s="75"/>
      <c r="D742" s="76"/>
      <c r="E742" s="77"/>
      <c r="F742" s="77"/>
      <c r="G742" s="77"/>
      <c r="H742" s="78"/>
    </row>
    <row r="743" spans="1:8">
      <c r="A743" s="75" t="str">
        <f t="shared" si="2"/>
        <v/>
      </c>
      <c r="B743" s="74"/>
      <c r="C743" s="75"/>
      <c r="D743" s="76"/>
      <c r="E743" s="77" t="str">
        <f>IFERROR(VLOOKUP(B743,PRICELIST[],2,FALSE),"")</f>
        <v/>
      </c>
      <c r="F743" s="77"/>
      <c r="G743" s="77" t="str">
        <f t="shared" si="1"/>
        <v/>
      </c>
      <c r="H743" s="78" t="str">
        <f t="shared" si="3"/>
        <v/>
      </c>
    </row>
    <row r="744" spans="1:8">
      <c r="A744" s="75" t="str">
        <f t="shared" si="2"/>
        <v/>
      </c>
      <c r="B744" s="73"/>
      <c r="C744" s="73"/>
      <c r="D744" s="73"/>
      <c r="E744" s="73"/>
      <c r="F744" s="31"/>
      <c r="G744" s="31" t="s">
        <v>18</v>
      </c>
      <c r="H744" s="15">
        <f>SUM(H702:H743)</f>
        <v>130000</v>
      </c>
    </row>
    <row r="745" spans="1:8">
      <c r="A745" s="29"/>
      <c r="B745" s="30"/>
      <c r="C745" s="30"/>
      <c r="D745" s="30"/>
      <c r="E745" s="30"/>
      <c r="F745" s="30"/>
      <c r="G745" s="31" t="s">
        <v>53</v>
      </c>
      <c r="H745" s="15">
        <v>0</v>
      </c>
    </row>
    <row r="746" spans="1:8">
      <c r="A746" s="29"/>
      <c r="B746" s="30"/>
      <c r="C746" s="30"/>
      <c r="D746" s="30"/>
      <c r="E746" s="30"/>
      <c r="F746" s="31"/>
      <c r="G746" s="31" t="s">
        <v>68</v>
      </c>
      <c r="H746" s="15">
        <f>H744-H745</f>
        <v>130000</v>
      </c>
    </row>
    <row r="747" spans="1:8">
      <c r="A747" s="72"/>
      <c r="B747" s="73"/>
      <c r="C747" s="73"/>
      <c r="D747" s="73"/>
      <c r="E747" s="73"/>
      <c r="F747" s="30"/>
      <c r="G747" s="31" t="s">
        <v>19</v>
      </c>
      <c r="H747" s="15">
        <f>H746*0.05</f>
        <v>6500</v>
      </c>
    </row>
    <row r="748" spans="1:8">
      <c r="A748" s="72"/>
      <c r="B748" s="73"/>
      <c r="C748" s="73"/>
      <c r="D748" s="73"/>
      <c r="E748" s="73"/>
      <c r="F748" s="30"/>
      <c r="G748" s="31" t="s">
        <v>20</v>
      </c>
      <c r="H748" s="15">
        <f>SUM(H746:H747)</f>
        <v>136500</v>
      </c>
    </row>
    <row r="749" spans="1:8">
      <c r="A749" s="83" t="str" cm="1">
        <f t="array" ref="A749">SpellNumber(H748)</f>
        <v>One Hundred Thirty Six Thousand Five Hundred  Dirhams and Zero Fils Only</v>
      </c>
      <c r="B749" s="84"/>
      <c r="C749" s="84"/>
      <c r="D749" s="84"/>
      <c r="E749" s="84"/>
      <c r="F749" s="84"/>
      <c r="G749" s="84"/>
      <c r="H749" s="85"/>
    </row>
    <row r="750" spans="1:8">
      <c r="A750" s="16"/>
      <c r="C750" s="4"/>
      <c r="D750" s="5"/>
      <c r="E750" s="5"/>
      <c r="F750" s="5"/>
      <c r="G750" s="5"/>
      <c r="H750" s="5"/>
    </row>
    <row r="751" spans="1:8">
      <c r="A751" s="1" t="s">
        <v>4</v>
      </c>
      <c r="B751" s="1"/>
      <c r="C751" s="19"/>
      <c r="D751" s="2"/>
      <c r="E751" s="2"/>
      <c r="F751" s="2"/>
      <c r="G751" s="2"/>
      <c r="H751" s="2"/>
    </row>
    <row r="752" spans="1:8">
      <c r="A752" s="20" t="s">
        <v>21</v>
      </c>
      <c r="B752" s="1"/>
      <c r="C752" s="19"/>
      <c r="D752" s="2"/>
      <c r="E752" s="2"/>
      <c r="F752" s="2"/>
      <c r="G752" s="2"/>
      <c r="H752" s="2"/>
    </row>
    <row r="753" spans="1:8">
      <c r="A753" s="1" t="s">
        <v>22</v>
      </c>
      <c r="B753" s="1"/>
      <c r="C753" s="19"/>
      <c r="D753" s="2"/>
      <c r="E753" s="2"/>
      <c r="F753" s="2"/>
      <c r="G753" s="2"/>
      <c r="H753" s="2"/>
    </row>
    <row r="754" spans="1:8">
      <c r="A754" s="1" t="s">
        <v>23</v>
      </c>
      <c r="B754" s="1"/>
      <c r="C754" s="19"/>
      <c r="D754" s="2"/>
      <c r="E754" s="2"/>
      <c r="F754" s="2"/>
      <c r="G754" s="2"/>
      <c r="H754" s="2"/>
    </row>
    <row r="755" spans="1:8">
      <c r="A755" s="1" t="s">
        <v>24</v>
      </c>
      <c r="B755" s="1"/>
      <c r="C755" s="19"/>
      <c r="D755" s="2"/>
      <c r="E755" s="2"/>
      <c r="F755" s="2"/>
      <c r="G755" s="2"/>
      <c r="H755" s="2"/>
    </row>
    <row r="756" spans="1:8">
      <c r="A756" s="116" t="s">
        <v>31</v>
      </c>
      <c r="B756" s="116"/>
      <c r="C756" s="116"/>
      <c r="D756" s="116"/>
      <c r="E756" s="116"/>
      <c r="F756" s="116"/>
      <c r="G756" s="116"/>
      <c r="H756" s="116"/>
    </row>
    <row r="757" spans="1:8">
      <c r="A757" s="98" t="s">
        <v>32</v>
      </c>
      <c r="B757" s="97"/>
      <c r="C757" s="97"/>
      <c r="D757" s="97"/>
      <c r="E757" s="97"/>
      <c r="F757" s="97"/>
      <c r="G757" s="97"/>
      <c r="H757" s="97"/>
    </row>
    <row r="758" spans="1:8">
      <c r="A758" s="23" t="s">
        <v>5</v>
      </c>
      <c r="B758" s="24"/>
      <c r="C758" s="25"/>
      <c r="D758" s="26"/>
      <c r="E758" s="26"/>
      <c r="F758" s="26"/>
      <c r="G758" s="26"/>
      <c r="H758" s="27"/>
    </row>
    <row r="759" spans="1:8">
      <c r="A759" s="23" t="s">
        <v>6</v>
      </c>
      <c r="B759" s="24"/>
      <c r="C759" s="25"/>
      <c r="D759" s="26"/>
      <c r="E759" s="26"/>
      <c r="F759" s="26"/>
      <c r="G759" s="26"/>
      <c r="H759" s="27"/>
    </row>
    <row r="760" spans="1:8">
      <c r="A760" s="23" t="s">
        <v>7</v>
      </c>
      <c r="B760" s="24"/>
      <c r="C760" s="25"/>
      <c r="D760" s="26"/>
      <c r="E760" s="26"/>
      <c r="F760" s="26"/>
      <c r="G760" s="26"/>
      <c r="H760" s="27"/>
    </row>
    <row r="761" spans="1:8">
      <c r="A761" s="23" t="s">
        <v>8</v>
      </c>
      <c r="B761" s="24"/>
      <c r="C761" s="25"/>
      <c r="D761" s="26"/>
      <c r="E761" s="26"/>
      <c r="F761" s="26"/>
      <c r="G761" s="26"/>
      <c r="H761" s="27"/>
    </row>
    <row r="762" spans="1:8">
      <c r="A762" s="23" t="s">
        <v>25</v>
      </c>
      <c r="B762" s="24"/>
      <c r="C762" s="117"/>
      <c r="D762" s="117"/>
      <c r="E762" s="25"/>
      <c r="F762" s="25"/>
      <c r="G762" s="25"/>
      <c r="H762" s="27"/>
    </row>
    <row r="763" spans="1:8">
      <c r="A763" s="23" t="s">
        <v>26</v>
      </c>
      <c r="B763" s="24"/>
      <c r="C763" s="117"/>
      <c r="D763" s="117"/>
      <c r="E763" s="25"/>
      <c r="F763" s="25"/>
      <c r="G763" s="25"/>
      <c r="H763" s="27"/>
    </row>
    <row r="764" spans="1:8">
      <c r="A764" s="23" t="s">
        <v>9</v>
      </c>
      <c r="B764" s="24"/>
      <c r="C764" s="25"/>
      <c r="D764" s="26"/>
      <c r="E764" s="26"/>
      <c r="F764" s="26"/>
      <c r="G764" s="26"/>
      <c r="H764" s="27"/>
    </row>
    <row r="765" spans="1:8" ht="21" customHeight="1">
      <c r="A765" s="118" t="s">
        <v>27</v>
      </c>
      <c r="B765" s="118"/>
      <c r="C765" s="19"/>
      <c r="D765" s="2"/>
      <c r="E765" s="2"/>
      <c r="F765" s="2"/>
      <c r="G765" s="2"/>
      <c r="H765" s="2"/>
    </row>
    <row r="766" spans="1:8" ht="21" customHeight="1">
      <c r="A766" s="114" t="s">
        <v>28</v>
      </c>
      <c r="B766" s="114"/>
      <c r="C766" s="114"/>
      <c r="D766" s="114"/>
      <c r="E766" s="114"/>
      <c r="F766" s="114"/>
      <c r="G766" s="114"/>
      <c r="H766" s="114"/>
    </row>
    <row r="767" spans="1:8">
      <c r="A767" s="114" t="s">
        <v>33</v>
      </c>
      <c r="B767" s="114"/>
      <c r="C767" s="114"/>
      <c r="D767" s="114"/>
      <c r="E767" s="114"/>
      <c r="F767" s="114"/>
      <c r="G767" s="114"/>
      <c r="H767" s="114"/>
    </row>
    <row r="768" spans="1:8">
      <c r="A768" s="28" t="s">
        <v>34</v>
      </c>
      <c r="B768" s="22"/>
      <c r="C768" s="22"/>
      <c r="D768" s="22"/>
      <c r="E768" s="22"/>
      <c r="F768" s="22"/>
      <c r="G768" s="22"/>
      <c r="H768" s="22"/>
    </row>
    <row r="769" spans="1:8">
      <c r="A769" s="115" t="s">
        <v>29</v>
      </c>
      <c r="B769" s="115"/>
      <c r="C769" s="115"/>
      <c r="D769" s="115"/>
      <c r="E769" s="115"/>
      <c r="F769" s="115"/>
      <c r="G769" s="115"/>
      <c r="H769" s="115"/>
    </row>
    <row r="770" spans="1:8">
      <c r="A770" s="114" t="s">
        <v>35</v>
      </c>
      <c r="B770" s="114"/>
      <c r="C770" s="114"/>
      <c r="D770" s="114"/>
      <c r="E770" s="114"/>
      <c r="F770" s="114"/>
      <c r="G770" s="114"/>
      <c r="H770" s="114"/>
    </row>
    <row r="771" spans="1:8">
      <c r="A771" s="28" t="s">
        <v>36</v>
      </c>
      <c r="B771" s="22"/>
      <c r="C771" s="22"/>
      <c r="D771" s="22"/>
      <c r="E771" s="22"/>
      <c r="F771" s="22"/>
      <c r="G771" s="22"/>
      <c r="H771" s="22"/>
    </row>
    <row r="772" spans="1:8">
      <c r="A772" s="114" t="s">
        <v>30</v>
      </c>
      <c r="B772" s="114"/>
      <c r="C772" s="114"/>
      <c r="D772" s="114"/>
      <c r="E772" s="114"/>
      <c r="F772" s="114"/>
      <c r="G772" s="114"/>
      <c r="H772" s="114"/>
    </row>
    <row r="773" spans="1:8" ht="21" customHeight="1">
      <c r="A773" s="21" t="s">
        <v>10</v>
      </c>
      <c r="B773" s="1"/>
      <c r="C773" s="19"/>
      <c r="D773" s="2"/>
      <c r="E773" s="2"/>
      <c r="F773" s="2"/>
      <c r="G773" s="2"/>
      <c r="H773" s="2"/>
    </row>
    <row r="774" spans="1:8" ht="21" customHeight="1">
      <c r="A774" s="21" t="s">
        <v>12</v>
      </c>
      <c r="B774" s="1"/>
      <c r="C774" s="19"/>
      <c r="D774" s="2"/>
      <c r="E774" s="2"/>
      <c r="F774" s="2"/>
      <c r="G774" s="2"/>
      <c r="H774" s="2"/>
    </row>
    <row r="775" spans="1:8" ht="21" customHeight="1">
      <c r="A775" s="21" t="s">
        <v>13</v>
      </c>
      <c r="B775" s="1"/>
      <c r="C775" s="19"/>
      <c r="D775" s="2"/>
      <c r="E775" s="2"/>
      <c r="F775" s="2"/>
      <c r="G775" s="2"/>
      <c r="H775" s="2"/>
    </row>
    <row r="776" spans="1:8" ht="21" customHeight="1">
      <c r="A776" s="21" t="s">
        <v>14</v>
      </c>
      <c r="B776" s="1"/>
      <c r="C776" s="19"/>
      <c r="D776" s="2"/>
      <c r="E776" s="2"/>
      <c r="F776"/>
      <c r="G776" s="2"/>
      <c r="H776" s="2"/>
    </row>
    <row r="777" spans="1:8" ht="21" customHeight="1">
      <c r="C777" s="4"/>
      <c r="D777" s="5"/>
      <c r="E777" s="5"/>
      <c r="F777" s="5"/>
      <c r="G777" s="5"/>
      <c r="H777" s="5"/>
    </row>
    <row r="778" spans="1:8" ht="21" customHeight="1">
      <c r="C778" s="4"/>
      <c r="D778" s="5"/>
      <c r="E778" s="5"/>
      <c r="F778" s="5"/>
      <c r="G778" s="5"/>
      <c r="H778" s="5"/>
    </row>
    <row r="779" spans="1:8" ht="21" customHeight="1">
      <c r="C779" s="4"/>
      <c r="D779" s="5"/>
      <c r="E779" s="5"/>
      <c r="F779" s="5"/>
      <c r="G779" s="5"/>
      <c r="H779" s="5"/>
    </row>
    <row r="780" spans="1:8" ht="21" customHeight="1">
      <c r="C780" s="4"/>
      <c r="D780"/>
      <c r="E780"/>
      <c r="F780" s="5"/>
      <c r="G780" s="5"/>
      <c r="H780" s="5"/>
    </row>
    <row r="781" spans="1:8" s="11" customFormat="1" ht="16.5" customHeight="1">
      <c r="A781" s="3"/>
      <c r="B781" s="3"/>
      <c r="C781" s="4"/>
      <c r="D781" s="5"/>
      <c r="E781" s="5"/>
      <c r="F781" s="5"/>
      <c r="G781" s="5"/>
      <c r="H781" s="5"/>
    </row>
    <row r="782" spans="1:8" s="11" customFormat="1" ht="16.5" customHeight="1">
      <c r="A782" s="3"/>
      <c r="B782" s="3"/>
      <c r="C782" s="4"/>
      <c r="D782" s="5"/>
      <c r="E782" s="5"/>
      <c r="F782" s="5"/>
      <c r="G782" s="5"/>
      <c r="H782" s="5"/>
    </row>
    <row r="783" spans="1:8" s="11" customFormat="1" ht="16.5" customHeight="1">
      <c r="A783" s="3"/>
      <c r="B783" s="3"/>
      <c r="C783" s="4"/>
      <c r="D783" s="5"/>
      <c r="E783" s="5"/>
      <c r="F783" s="5"/>
      <c r="G783" s="5"/>
      <c r="H783" s="5"/>
    </row>
    <row r="784" spans="1:8" s="11" customFormat="1" ht="16.5" customHeight="1">
      <c r="A784" s="3"/>
      <c r="B784" s="3"/>
      <c r="C784" s="4"/>
      <c r="D784" s="5"/>
      <c r="E784" s="5"/>
      <c r="F784" s="5"/>
      <c r="G784" s="5"/>
      <c r="H784" s="5"/>
    </row>
    <row r="785" spans="1:8" s="11" customFormat="1" ht="16.5" customHeight="1">
      <c r="A785" s="3"/>
      <c r="B785" s="3"/>
      <c r="C785" s="4"/>
      <c r="D785" s="5"/>
      <c r="E785" s="5"/>
      <c r="F785" s="5"/>
      <c r="G785" s="5"/>
      <c r="H785" s="5"/>
    </row>
    <row r="786" spans="1:8" s="11" customFormat="1" ht="17.25">
      <c r="A786" s="17"/>
      <c r="B786" s="17"/>
      <c r="C786" s="17"/>
      <c r="D786" s="17"/>
      <c r="E786" s="17"/>
      <c r="F786" s="17"/>
      <c r="G786" s="17"/>
    </row>
  </sheetData>
  <mergeCells count="9">
    <mergeCell ref="A767:H767"/>
    <mergeCell ref="A769:H769"/>
    <mergeCell ref="A770:H770"/>
    <mergeCell ref="A772:H772"/>
    <mergeCell ref="A756:H756"/>
    <mergeCell ref="C762:D762"/>
    <mergeCell ref="C763:D763"/>
    <mergeCell ref="A765:B765"/>
    <mergeCell ref="A766:H766"/>
  </mergeCells>
  <pageMargins left="0.23622047244094491" right="0.23622047244094491" top="1.4960629921259843" bottom="1.1811023622047245" header="0.19685039370078741" footer="0.23622047244094491"/>
  <pageSetup paperSize="9" scale="65" orientation="portrait" r:id="rId1"/>
  <headerFooter scaleWithDoc="0">
    <oddHeader>&amp;L&amp;G&amp;R&amp;K00-048Page &amp;K01+000|&amp;P</oddHeader>
    <oddFooter>&amp;L&amp;G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SaveAsPDF_Company_Quote">
                <anchor moveWithCells="1" sizeWithCells="1">
                  <from>
                    <xdr:col>10</xdr:col>
                    <xdr:colOff>295275</xdr:colOff>
                    <xdr:row>3</xdr:row>
                    <xdr:rowOff>123825</xdr:rowOff>
                  </from>
                  <to>
                    <xdr:col>16</xdr:col>
                    <xdr:colOff>57150</xdr:colOff>
                    <xdr:row>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SendSheetAsPDF_Email">
                <anchor moveWithCells="1" sizeWithCells="1">
                  <from>
                    <xdr:col>10</xdr:col>
                    <xdr:colOff>295275</xdr:colOff>
                    <xdr:row>7</xdr:row>
                    <xdr:rowOff>0</xdr:rowOff>
                  </from>
                  <to>
                    <xdr:col>16</xdr:col>
                    <xdr:colOff>57150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Button 8">
              <controlPr defaultSize="0" print="0" autoFill="0" autoPict="0" macro="[0]!SaveQuoteSummaryWithQuoteNumber">
                <anchor moveWithCells="1" sizeWithCells="1">
                  <from>
                    <xdr:col>10</xdr:col>
                    <xdr:colOff>266700</xdr:colOff>
                    <xdr:row>10</xdr:row>
                    <xdr:rowOff>247650</xdr:rowOff>
                  </from>
                  <to>
                    <xdr:col>16</xdr:col>
                    <xdr:colOff>28575</xdr:colOff>
                    <xdr:row>703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Button 9">
              <controlPr defaultSize="0" print="0" autoFill="0" autoPict="0" macro="[0]!SaveAsMacroEnabledQuote">
                <anchor moveWithCells="1" sizeWithCells="1">
                  <from>
                    <xdr:col>10</xdr:col>
                    <xdr:colOff>266700</xdr:colOff>
                    <xdr:row>704</xdr:row>
                    <xdr:rowOff>200025</xdr:rowOff>
                  </from>
                  <to>
                    <xdr:col>16</xdr:col>
                    <xdr:colOff>28575</xdr:colOff>
                    <xdr:row>707</xdr:row>
                    <xdr:rowOff>200025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D0C34DE-6551-4047-B055-ADE87B7D2399}">
          <x14:formula1>
            <xm:f>DATA!$E$2:$E$610</xm:f>
          </x14:formula1>
          <xm:sqref>B3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Q67"/>
  <sheetViews>
    <sheetView view="pageBreakPreview" zoomScale="70" zoomScaleNormal="55" zoomScaleSheetLayoutView="70" workbookViewId="0">
      <selection activeCell="A14" sqref="A14:E14"/>
    </sheetView>
  </sheetViews>
  <sheetFormatPr defaultRowHeight="15"/>
  <cols>
    <col min="1" max="1" width="12" style="32" customWidth="1"/>
    <col min="2" max="2" width="10" style="32" customWidth="1"/>
    <col min="3" max="4" width="9.140625" style="32"/>
    <col min="5" max="5" width="9.28515625" style="32" customWidth="1"/>
    <col min="6" max="6" width="6.28515625" style="32" bestFit="1" customWidth="1"/>
    <col min="7" max="7" width="6.42578125" style="32" bestFit="1" customWidth="1"/>
    <col min="8" max="9" width="15.140625" style="32" bestFit="1" customWidth="1"/>
    <col min="10" max="10" width="12.85546875" style="32" customWidth="1"/>
    <col min="11" max="11" width="13.7109375" style="32" bestFit="1" customWidth="1"/>
    <col min="12" max="12" width="7.7109375" style="32" customWidth="1"/>
    <col min="13" max="13" width="10.7109375" style="32" bestFit="1" customWidth="1"/>
    <col min="14" max="14" width="14.28515625" style="32" customWidth="1"/>
    <col min="15" max="15" width="4.5703125" style="32" customWidth="1"/>
    <col min="16" max="16" width="3.42578125" style="32" customWidth="1"/>
    <col min="17" max="17" width="9.7109375" style="32" customWidth="1"/>
    <col min="18" max="19" width="9.140625" style="32"/>
    <col min="20" max="20" width="3.42578125" style="32" customWidth="1"/>
    <col min="21" max="16384" width="9.140625" style="32"/>
  </cols>
  <sheetData>
    <row r="1" spans="1:17" ht="26.25" thickBot="1">
      <c r="A1" s="119"/>
      <c r="B1" s="120"/>
      <c r="C1" s="125" t="s">
        <v>37</v>
      </c>
      <c r="D1" s="125"/>
      <c r="E1" s="125"/>
      <c r="F1" s="125"/>
      <c r="G1" s="125"/>
      <c r="H1" s="125"/>
      <c r="I1" s="126"/>
      <c r="J1" s="126"/>
      <c r="K1" s="126"/>
      <c r="L1" s="126"/>
      <c r="M1" s="126"/>
      <c r="N1" s="127"/>
    </row>
    <row r="2" spans="1:17" ht="25.5">
      <c r="A2" s="121"/>
      <c r="B2" s="122"/>
      <c r="C2" s="125" t="s">
        <v>38</v>
      </c>
      <c r="D2" s="125"/>
      <c r="E2" s="125"/>
      <c r="F2" s="125"/>
      <c r="G2" s="125"/>
      <c r="H2" s="125"/>
      <c r="I2" s="126"/>
      <c r="J2" s="126"/>
      <c r="K2" s="126"/>
      <c r="L2" s="126"/>
      <c r="M2" s="126"/>
      <c r="N2" s="127"/>
    </row>
    <row r="3" spans="1:17" ht="18" customHeight="1">
      <c r="A3" s="123"/>
      <c r="B3" s="124"/>
      <c r="C3" s="128" t="s">
        <v>39</v>
      </c>
      <c r="D3" s="128"/>
      <c r="E3" s="128"/>
      <c r="F3" s="128"/>
      <c r="G3" s="128"/>
      <c r="H3" s="128"/>
      <c r="I3" s="129"/>
      <c r="J3" s="129"/>
      <c r="K3" s="129"/>
      <c r="L3" s="129"/>
      <c r="M3" s="129"/>
      <c r="N3" s="130"/>
      <c r="P3" s="33"/>
      <c r="Q3" s="33"/>
    </row>
    <row r="4" spans="1:17" ht="18.75">
      <c r="A4" s="123"/>
      <c r="B4" s="124"/>
      <c r="C4" s="131" t="s">
        <v>40</v>
      </c>
      <c r="D4" s="131"/>
      <c r="E4" s="131"/>
      <c r="F4" s="131"/>
      <c r="G4" s="131"/>
      <c r="H4" s="131"/>
      <c r="I4" s="132"/>
      <c r="J4" s="132"/>
      <c r="K4" s="132"/>
      <c r="L4" s="132"/>
      <c r="M4" s="132"/>
      <c r="N4" s="133"/>
      <c r="P4" s="33"/>
      <c r="Q4" s="33"/>
    </row>
    <row r="5" spans="1:17" ht="22.5" customHeight="1">
      <c r="A5" s="134" t="s">
        <v>41</v>
      </c>
      <c r="B5" s="135"/>
      <c r="C5" s="135"/>
      <c r="D5" s="135"/>
      <c r="E5" s="135"/>
      <c r="F5" s="135"/>
      <c r="G5" s="135"/>
      <c r="H5" s="135"/>
      <c r="I5" s="135"/>
      <c r="J5" s="135"/>
      <c r="K5" s="136"/>
      <c r="L5" s="137" t="s">
        <v>42</v>
      </c>
      <c r="M5" s="138"/>
      <c r="N5" s="34" t="s">
        <v>43</v>
      </c>
      <c r="P5" s="33"/>
      <c r="Q5" s="33"/>
    </row>
    <row r="6" spans="1:17" ht="22.5" customHeight="1">
      <c r="A6" s="139" t="s">
        <v>44</v>
      </c>
      <c r="B6" s="140"/>
      <c r="C6" s="141">
        <f>QUOTE!B3</f>
        <v>0</v>
      </c>
      <c r="D6" s="142"/>
      <c r="E6" s="142"/>
      <c r="F6" s="142"/>
      <c r="G6" s="142"/>
      <c r="H6" s="142"/>
      <c r="I6" s="142"/>
      <c r="J6" s="142"/>
      <c r="K6" s="143"/>
      <c r="L6" s="146" t="s">
        <v>1060</v>
      </c>
      <c r="M6" s="147"/>
      <c r="N6" s="35">
        <v>45754</v>
      </c>
      <c r="P6" s="33"/>
      <c r="Q6" s="33"/>
    </row>
    <row r="7" spans="1:17" ht="22.5" customHeight="1">
      <c r="A7" s="139" t="s">
        <v>45</v>
      </c>
      <c r="B7" s="140"/>
      <c r="C7" s="141" t="str">
        <f>QUOTE!B4</f>
        <v/>
      </c>
      <c r="D7" s="142"/>
      <c r="E7" s="142"/>
      <c r="F7" s="142"/>
      <c r="G7" s="142"/>
      <c r="H7" s="142"/>
      <c r="I7" s="142"/>
      <c r="J7" s="142"/>
      <c r="K7" s="143"/>
      <c r="L7" s="153" t="s">
        <v>1101</v>
      </c>
      <c r="M7" s="138"/>
      <c r="N7" s="34" t="s">
        <v>46</v>
      </c>
      <c r="P7" s="33"/>
      <c r="Q7" s="33"/>
    </row>
    <row r="8" spans="1:17" ht="22.5" customHeight="1">
      <c r="A8" s="148" t="s">
        <v>47</v>
      </c>
      <c r="B8" s="149"/>
      <c r="C8" s="150" t="str">
        <f>QUOTE!B5</f>
        <v/>
      </c>
      <c r="D8" s="151"/>
      <c r="E8" s="151"/>
      <c r="F8" s="151"/>
      <c r="G8" s="151"/>
      <c r="H8" s="151"/>
      <c r="I8" s="151"/>
      <c r="J8" s="151"/>
      <c r="K8" s="152"/>
      <c r="L8" s="154" t="e">
        <f>VLOOKUP(C6,COMPANYDETAILS[],3,FALSE)</f>
        <v>#N/A</v>
      </c>
      <c r="M8" s="155"/>
      <c r="N8" s="36">
        <f>N6+30</f>
        <v>45784</v>
      </c>
      <c r="P8" s="33"/>
      <c r="Q8" s="33"/>
    </row>
    <row r="9" spans="1:17" ht="22.5" customHeight="1">
      <c r="A9" s="148" t="s">
        <v>48</v>
      </c>
      <c r="B9" s="149"/>
      <c r="C9" s="150" t="str">
        <f>QUOTE!B6</f>
        <v/>
      </c>
      <c r="D9" s="151"/>
      <c r="E9" s="151"/>
      <c r="F9" s="151"/>
      <c r="G9" s="151"/>
      <c r="H9" s="151"/>
      <c r="I9" s="151"/>
      <c r="J9" s="151"/>
      <c r="K9" s="152"/>
      <c r="L9" s="37"/>
      <c r="M9" s="37"/>
      <c r="N9" s="38"/>
      <c r="P9" s="33"/>
      <c r="Q9" s="33"/>
    </row>
    <row r="10" spans="1:17" ht="22.5" customHeight="1">
      <c r="A10" s="39" t="s">
        <v>49</v>
      </c>
      <c r="B10" s="110">
        <f>QUOTE!H4</f>
        <v>10719</v>
      </c>
      <c r="C10" s="40"/>
      <c r="D10" s="41"/>
      <c r="E10" s="41"/>
      <c r="F10" s="41"/>
      <c r="G10" s="42"/>
      <c r="H10" s="156"/>
      <c r="I10" s="157"/>
      <c r="J10" s="157"/>
      <c r="K10" s="157"/>
      <c r="L10" s="157"/>
      <c r="M10" s="157"/>
      <c r="N10" s="158"/>
      <c r="P10" s="33"/>
      <c r="Q10" s="33"/>
    </row>
    <row r="11" spans="1:17" s="47" customFormat="1" ht="64.5" customHeight="1">
      <c r="A11" s="159" t="s">
        <v>50</v>
      </c>
      <c r="B11" s="160"/>
      <c r="C11" s="160"/>
      <c r="D11" s="160"/>
      <c r="E11" s="160"/>
      <c r="F11" s="43" t="s">
        <v>2</v>
      </c>
      <c r="G11" s="43" t="s">
        <v>3</v>
      </c>
      <c r="H11" s="43" t="s">
        <v>51</v>
      </c>
      <c r="I11" s="44" t="s">
        <v>52</v>
      </c>
      <c r="J11" s="45" t="s">
        <v>53</v>
      </c>
      <c r="K11" s="44" t="s">
        <v>54</v>
      </c>
      <c r="L11" s="45" t="s">
        <v>55</v>
      </c>
      <c r="M11" s="44" t="s">
        <v>56</v>
      </c>
      <c r="N11" s="46" t="s">
        <v>57</v>
      </c>
    </row>
    <row r="12" spans="1:17" ht="24" customHeight="1">
      <c r="A12" s="113">
        <f>QUOTE!B7</f>
        <v>0</v>
      </c>
      <c r="B12" s="57"/>
      <c r="C12" s="57"/>
      <c r="D12" s="57"/>
      <c r="E12" s="58"/>
      <c r="F12" s="52"/>
      <c r="G12" s="53"/>
      <c r="H12" s="54"/>
      <c r="I12" s="55"/>
      <c r="J12" s="55"/>
      <c r="K12" s="55"/>
      <c r="L12" s="55"/>
      <c r="M12" s="55"/>
      <c r="N12" s="56"/>
    </row>
    <row r="13" spans="1:17" ht="41.25" customHeight="1">
      <c r="A13" s="161" t="str">
        <f>QUOTE!B702</f>
        <v>CREATIVE RETAINER SERVICES</v>
      </c>
      <c r="B13" s="162"/>
      <c r="C13" s="162"/>
      <c r="D13" s="162"/>
      <c r="E13" s="162"/>
      <c r="F13" s="111">
        <f>QUOTE!D702</f>
        <v>0</v>
      </c>
      <c r="G13" s="112">
        <f>QUOTE!C702</f>
        <v>0</v>
      </c>
      <c r="H13" s="49" t="str">
        <f>QUOTE!E702</f>
        <v/>
      </c>
      <c r="I13" s="49" t="e">
        <f>F13*G13*H13</f>
        <v>#VALUE!</v>
      </c>
      <c r="J13" s="49">
        <f>QUOTE!F702</f>
        <v>0</v>
      </c>
      <c r="K13" s="49" t="e">
        <f>I13-J13</f>
        <v>#VALUE!</v>
      </c>
      <c r="L13" s="86">
        <v>0.05</v>
      </c>
      <c r="M13" s="49" t="e">
        <f>K13*L13</f>
        <v>#VALUE!</v>
      </c>
      <c r="N13" s="49" t="e">
        <f>K13+M13</f>
        <v>#VALUE!</v>
      </c>
    </row>
    <row r="14" spans="1:17" ht="21.75" customHeight="1">
      <c r="A14" s="163"/>
      <c r="B14" s="164"/>
      <c r="C14" s="164"/>
      <c r="D14" s="164"/>
      <c r="E14" s="164"/>
      <c r="F14" s="48"/>
      <c r="G14" s="49"/>
      <c r="H14" s="49"/>
      <c r="I14" s="49"/>
      <c r="J14" s="49"/>
      <c r="K14" s="49"/>
      <c r="L14" s="86"/>
      <c r="M14" s="49"/>
      <c r="N14" s="49"/>
    </row>
    <row r="15" spans="1:17" ht="21.75" customHeight="1">
      <c r="A15" s="163"/>
      <c r="B15" s="164"/>
      <c r="C15" s="164"/>
      <c r="D15" s="164"/>
      <c r="E15" s="164"/>
      <c r="F15" s="48"/>
      <c r="G15" s="49"/>
      <c r="H15" s="49"/>
      <c r="I15" s="49"/>
      <c r="J15" s="49"/>
      <c r="K15" s="49"/>
      <c r="L15" s="86"/>
      <c r="M15" s="49"/>
      <c r="N15" s="49"/>
    </row>
    <row r="16" spans="1:17" ht="21.75" customHeight="1">
      <c r="A16" s="163"/>
      <c r="B16" s="164"/>
      <c r="C16" s="164"/>
      <c r="D16" s="164"/>
      <c r="E16" s="164"/>
      <c r="F16" s="48"/>
      <c r="G16" s="49"/>
      <c r="H16" s="49"/>
      <c r="I16" s="49"/>
      <c r="J16" s="49"/>
      <c r="K16" s="49"/>
      <c r="L16" s="86"/>
      <c r="M16" s="49"/>
      <c r="N16" s="49"/>
    </row>
    <row r="17" spans="1:14" ht="21.75" customHeight="1">
      <c r="A17" s="163"/>
      <c r="B17" s="164"/>
      <c r="C17" s="164"/>
      <c r="D17" s="164"/>
      <c r="E17" s="164"/>
      <c r="F17" s="48"/>
      <c r="G17" s="49"/>
      <c r="H17" s="49"/>
      <c r="I17" s="49"/>
      <c r="J17" s="49"/>
      <c r="K17" s="49"/>
      <c r="L17" s="86"/>
      <c r="M17" s="49"/>
      <c r="N17" s="49"/>
    </row>
    <row r="18" spans="1:14" ht="21.75" customHeight="1">
      <c r="A18" s="163"/>
      <c r="B18" s="164"/>
      <c r="C18" s="164"/>
      <c r="D18" s="164"/>
      <c r="E18" s="164"/>
      <c r="F18" s="48"/>
      <c r="G18" s="49"/>
      <c r="H18" s="49"/>
      <c r="I18" s="49"/>
      <c r="J18" s="49"/>
      <c r="K18" s="49"/>
      <c r="L18" s="49"/>
      <c r="M18" s="49"/>
      <c r="N18" s="49"/>
    </row>
    <row r="19" spans="1:14" ht="21.75" customHeight="1">
      <c r="A19" s="144"/>
      <c r="B19" s="145"/>
      <c r="C19" s="145"/>
      <c r="D19" s="145"/>
      <c r="E19" s="145"/>
      <c r="F19" s="48"/>
      <c r="G19" s="49"/>
      <c r="H19" s="49"/>
      <c r="I19" s="49"/>
      <c r="J19" s="49"/>
      <c r="K19" s="49"/>
      <c r="L19" s="49"/>
      <c r="M19" s="49"/>
      <c r="N19" s="49"/>
    </row>
    <row r="20" spans="1:14" ht="21.75" customHeight="1">
      <c r="A20" s="144"/>
      <c r="B20" s="145"/>
      <c r="C20" s="145"/>
      <c r="D20" s="145"/>
      <c r="E20" s="145"/>
      <c r="F20" s="48"/>
      <c r="G20" s="49"/>
      <c r="H20" s="49"/>
      <c r="I20" s="49"/>
      <c r="J20" s="49"/>
      <c r="K20" s="49"/>
      <c r="L20" s="49"/>
      <c r="M20" s="49"/>
      <c r="N20" s="49"/>
    </row>
    <row r="21" spans="1:14" ht="21.75" customHeight="1">
      <c r="A21" s="144"/>
      <c r="B21" s="145"/>
      <c r="C21" s="145"/>
      <c r="D21" s="145"/>
      <c r="E21" s="145"/>
      <c r="F21" s="48"/>
      <c r="G21" s="49"/>
      <c r="H21" s="49"/>
      <c r="I21" s="49"/>
      <c r="J21" s="49"/>
      <c r="K21" s="49"/>
      <c r="L21" s="49"/>
      <c r="M21" s="49"/>
      <c r="N21" s="49"/>
    </row>
    <row r="22" spans="1:14" ht="21.75" customHeight="1">
      <c r="A22" s="144"/>
      <c r="B22" s="145"/>
      <c r="C22" s="145"/>
      <c r="D22" s="145"/>
      <c r="E22" s="145"/>
      <c r="F22" s="48"/>
      <c r="G22" s="49"/>
      <c r="H22" s="49"/>
      <c r="I22" s="49"/>
      <c r="J22" s="49"/>
      <c r="K22" s="49"/>
      <c r="L22" s="49"/>
      <c r="M22" s="49"/>
      <c r="N22" s="49"/>
    </row>
    <row r="23" spans="1:14" ht="21.75" customHeight="1">
      <c r="A23" s="144"/>
      <c r="B23" s="145"/>
      <c r="C23" s="145"/>
      <c r="D23" s="145"/>
      <c r="E23" s="145"/>
      <c r="F23" s="48"/>
      <c r="G23" s="49"/>
      <c r="H23" s="49"/>
      <c r="I23" s="49"/>
      <c r="J23" s="49"/>
      <c r="K23" s="49"/>
      <c r="L23" s="49"/>
      <c r="M23" s="49"/>
      <c r="N23" s="49"/>
    </row>
    <row r="24" spans="1:14" ht="21.75" customHeight="1">
      <c r="A24" s="144"/>
      <c r="B24" s="145"/>
      <c r="C24" s="145"/>
      <c r="D24" s="145"/>
      <c r="E24" s="145"/>
      <c r="F24" s="48"/>
      <c r="G24" s="49"/>
      <c r="H24" s="49"/>
      <c r="I24" s="49"/>
      <c r="J24" s="49"/>
      <c r="K24" s="49"/>
      <c r="L24" s="49"/>
      <c r="M24" s="49"/>
      <c r="N24" s="49"/>
    </row>
    <row r="25" spans="1:14" ht="21.75" customHeight="1">
      <c r="A25" s="144"/>
      <c r="B25" s="145"/>
      <c r="C25" s="145"/>
      <c r="D25" s="145"/>
      <c r="E25" s="145"/>
      <c r="F25" s="48"/>
      <c r="G25" s="49"/>
      <c r="H25" s="49"/>
      <c r="I25" s="49"/>
      <c r="J25" s="49"/>
      <c r="K25" s="49"/>
      <c r="L25" s="49"/>
      <c r="M25" s="49"/>
      <c r="N25" s="49"/>
    </row>
    <row r="26" spans="1:14" ht="21.75" customHeight="1">
      <c r="A26" s="144"/>
      <c r="B26" s="145"/>
      <c r="C26" s="145"/>
      <c r="D26" s="145"/>
      <c r="E26" s="145"/>
      <c r="F26" s="48"/>
      <c r="G26" s="49"/>
      <c r="H26" s="49"/>
      <c r="I26" s="49"/>
      <c r="J26" s="49"/>
      <c r="K26" s="49"/>
      <c r="L26" s="49"/>
      <c r="M26" s="49"/>
      <c r="N26" s="49"/>
    </row>
    <row r="27" spans="1:14" ht="21.75" customHeight="1">
      <c r="A27" s="144"/>
      <c r="B27" s="145"/>
      <c r="C27" s="145"/>
      <c r="D27" s="145"/>
      <c r="E27" s="145"/>
      <c r="F27" s="48"/>
      <c r="G27" s="49"/>
      <c r="H27" s="49"/>
      <c r="I27" s="49"/>
      <c r="J27" s="49"/>
      <c r="K27" s="49"/>
      <c r="L27" s="49"/>
      <c r="M27" s="49"/>
      <c r="N27" s="49"/>
    </row>
    <row r="28" spans="1:14" ht="21.75" customHeight="1">
      <c r="A28" s="144"/>
      <c r="B28" s="145"/>
      <c r="C28" s="145"/>
      <c r="D28" s="145"/>
      <c r="E28" s="145"/>
      <c r="F28" s="48"/>
      <c r="G28" s="49"/>
      <c r="H28" s="49"/>
      <c r="I28" s="49"/>
      <c r="J28" s="49"/>
      <c r="K28" s="49"/>
      <c r="L28" s="49"/>
      <c r="M28" s="49"/>
      <c r="N28" s="49"/>
    </row>
    <row r="29" spans="1:14" ht="21.75" customHeight="1">
      <c r="A29" s="144"/>
      <c r="B29" s="145"/>
      <c r="C29" s="145"/>
      <c r="D29" s="145"/>
      <c r="E29" s="145"/>
      <c r="F29" s="48"/>
      <c r="G29" s="49"/>
      <c r="H29" s="49"/>
      <c r="I29" s="49"/>
      <c r="J29" s="49"/>
      <c r="K29" s="49"/>
      <c r="L29" s="49"/>
      <c r="M29" s="49"/>
      <c r="N29" s="49"/>
    </row>
    <row r="30" spans="1:14" ht="21.75" customHeight="1">
      <c r="A30" s="144"/>
      <c r="B30" s="145"/>
      <c r="C30" s="145"/>
      <c r="D30" s="145"/>
      <c r="E30" s="145"/>
      <c r="F30" s="48"/>
      <c r="G30" s="49"/>
      <c r="H30" s="49"/>
      <c r="I30" s="49"/>
      <c r="J30" s="49"/>
      <c r="K30" s="49"/>
      <c r="L30" s="49"/>
      <c r="M30" s="49"/>
      <c r="N30" s="49"/>
    </row>
    <row r="31" spans="1:14" ht="21.75" customHeight="1">
      <c r="A31" s="144"/>
      <c r="B31" s="145"/>
      <c r="C31" s="145"/>
      <c r="D31" s="145"/>
      <c r="E31" s="145"/>
      <c r="F31" s="48"/>
      <c r="G31" s="49"/>
      <c r="H31" s="49"/>
      <c r="I31" s="49"/>
      <c r="J31" s="49"/>
      <c r="K31" s="49"/>
      <c r="L31" s="49"/>
      <c r="M31" s="49"/>
      <c r="N31" s="49"/>
    </row>
    <row r="32" spans="1:14" ht="21.75" customHeight="1">
      <c r="A32" s="144"/>
      <c r="B32" s="145"/>
      <c r="C32" s="145"/>
      <c r="D32" s="145"/>
      <c r="E32" s="145"/>
      <c r="F32" s="48"/>
      <c r="G32" s="49"/>
      <c r="H32" s="49"/>
      <c r="I32" s="49"/>
      <c r="J32" s="49"/>
      <c r="K32" s="49"/>
      <c r="L32" s="49"/>
      <c r="M32" s="49"/>
      <c r="N32" s="49"/>
    </row>
    <row r="33" spans="1:14" ht="21.75" customHeight="1">
      <c r="A33" s="144"/>
      <c r="B33" s="145"/>
      <c r="C33" s="145"/>
      <c r="D33" s="145"/>
      <c r="E33" s="145"/>
      <c r="F33" s="48"/>
      <c r="G33" s="49"/>
      <c r="H33" s="49"/>
      <c r="I33" s="49"/>
      <c r="J33" s="49"/>
      <c r="K33" s="49"/>
      <c r="L33" s="49"/>
      <c r="M33" s="49"/>
      <c r="N33" s="49"/>
    </row>
    <row r="34" spans="1:14" ht="21.75" customHeight="1">
      <c r="A34" s="144"/>
      <c r="B34" s="145"/>
      <c r="C34" s="145"/>
      <c r="D34" s="145"/>
      <c r="E34" s="145"/>
      <c r="F34" s="48"/>
      <c r="G34" s="49"/>
      <c r="H34" s="49"/>
      <c r="I34" s="49"/>
      <c r="J34" s="49"/>
      <c r="K34" s="49"/>
      <c r="L34" s="49"/>
      <c r="M34" s="49"/>
      <c r="N34" s="49"/>
    </row>
    <row r="35" spans="1:14" ht="21.75" customHeight="1">
      <c r="A35" s="144"/>
      <c r="B35" s="145"/>
      <c r="C35" s="145"/>
      <c r="D35" s="145"/>
      <c r="E35" s="145"/>
      <c r="F35" s="48"/>
      <c r="G35" s="49"/>
      <c r="H35" s="49"/>
      <c r="I35" s="49"/>
      <c r="J35" s="49"/>
      <c r="K35" s="49"/>
      <c r="L35" s="49"/>
      <c r="M35" s="49"/>
      <c r="N35" s="49"/>
    </row>
    <row r="36" spans="1:14" ht="21.75" customHeight="1">
      <c r="A36" s="144"/>
      <c r="B36" s="145"/>
      <c r="C36" s="145"/>
      <c r="D36" s="145"/>
      <c r="E36" s="145"/>
      <c r="F36" s="48"/>
      <c r="G36" s="49"/>
      <c r="H36" s="49"/>
      <c r="I36" s="49"/>
      <c r="J36" s="49"/>
      <c r="K36" s="49"/>
      <c r="L36" s="49"/>
      <c r="M36" s="49"/>
      <c r="N36" s="49"/>
    </row>
    <row r="37" spans="1:14" ht="21.75" customHeight="1">
      <c r="A37" s="144"/>
      <c r="B37" s="145"/>
      <c r="C37" s="145"/>
      <c r="D37" s="145"/>
      <c r="E37" s="145"/>
      <c r="F37" s="48"/>
      <c r="G37" s="49"/>
      <c r="H37" s="49"/>
      <c r="I37" s="49"/>
      <c r="J37" s="49"/>
      <c r="K37" s="49"/>
      <c r="L37" s="49"/>
      <c r="M37" s="49"/>
      <c r="N37" s="49"/>
    </row>
    <row r="38" spans="1:14" ht="21.75" customHeight="1">
      <c r="A38" s="144"/>
      <c r="B38" s="145"/>
      <c r="C38" s="145"/>
      <c r="D38" s="145"/>
      <c r="E38" s="145"/>
      <c r="F38" s="48"/>
      <c r="G38" s="49"/>
      <c r="H38" s="49"/>
      <c r="I38" s="49"/>
      <c r="J38" s="49"/>
      <c r="K38" s="49"/>
      <c r="L38" s="49"/>
      <c r="M38" s="49"/>
      <c r="N38" s="49"/>
    </row>
    <row r="39" spans="1:14" ht="21.75" customHeight="1">
      <c r="A39" s="144"/>
      <c r="B39" s="145"/>
      <c r="C39" s="145"/>
      <c r="D39" s="145"/>
      <c r="E39" s="145"/>
      <c r="F39" s="48"/>
      <c r="G39" s="49"/>
      <c r="H39" s="49"/>
      <c r="I39" s="49"/>
      <c r="J39" s="49"/>
      <c r="K39" s="49"/>
      <c r="L39" s="49"/>
      <c r="M39" s="49"/>
      <c r="N39" s="49"/>
    </row>
    <row r="40" spans="1:14" ht="21.75" customHeight="1">
      <c r="A40" s="144"/>
      <c r="B40" s="145"/>
      <c r="C40" s="145"/>
      <c r="D40" s="145"/>
      <c r="E40" s="145"/>
      <c r="F40" s="48"/>
      <c r="G40" s="49"/>
      <c r="H40" s="49"/>
      <c r="I40" s="49"/>
      <c r="J40" s="49"/>
      <c r="K40" s="49"/>
      <c r="L40" s="49"/>
      <c r="M40" s="49"/>
      <c r="N40" s="49"/>
    </row>
    <row r="41" spans="1:14" ht="21.75" customHeight="1">
      <c r="A41" s="144"/>
      <c r="B41" s="145"/>
      <c r="C41" s="145"/>
      <c r="D41" s="145"/>
      <c r="E41" s="145"/>
      <c r="F41" s="48"/>
      <c r="G41" s="49"/>
      <c r="H41" s="49"/>
      <c r="I41" s="49"/>
      <c r="J41" s="49"/>
      <c r="K41" s="49"/>
      <c r="L41" s="49"/>
      <c r="M41" s="49"/>
      <c r="N41" s="49"/>
    </row>
    <row r="42" spans="1:14" ht="21.75" customHeight="1">
      <c r="A42" s="144"/>
      <c r="B42" s="145"/>
      <c r="C42" s="145"/>
      <c r="D42" s="145"/>
      <c r="E42" s="145"/>
      <c r="F42" s="48"/>
      <c r="G42" s="49"/>
      <c r="H42" s="49"/>
      <c r="I42" s="49"/>
      <c r="J42" s="49"/>
      <c r="K42" s="49"/>
      <c r="L42" s="49"/>
      <c r="M42" s="49"/>
      <c r="N42" s="49"/>
    </row>
    <row r="43" spans="1:14" ht="27" customHeight="1">
      <c r="A43" s="184" t="s">
        <v>58</v>
      </c>
      <c r="B43" s="185"/>
      <c r="C43" s="185"/>
      <c r="D43" s="185"/>
      <c r="E43" s="185"/>
      <c r="F43" s="185"/>
      <c r="G43" s="185"/>
      <c r="H43" s="185"/>
      <c r="I43" s="185"/>
      <c r="J43" s="167" t="s">
        <v>59</v>
      </c>
      <c r="K43" s="168"/>
      <c r="L43" s="169"/>
      <c r="M43" s="43" t="s">
        <v>1059</v>
      </c>
      <c r="N43" s="50" t="e">
        <f>SUM(N12:N42)/105*100</f>
        <v>#VALUE!</v>
      </c>
    </row>
    <row r="44" spans="1:14" ht="27" customHeight="1">
      <c r="A44" s="184" t="e" cm="1">
        <f t="array" ref="A44">SpellNumber(N45)</f>
        <v>#VALUE!</v>
      </c>
      <c r="B44" s="185"/>
      <c r="C44" s="185"/>
      <c r="D44" s="185"/>
      <c r="E44" s="185"/>
      <c r="F44" s="185"/>
      <c r="G44" s="185"/>
      <c r="H44" s="185"/>
      <c r="I44" s="185"/>
      <c r="J44" s="186" t="s">
        <v>60</v>
      </c>
      <c r="K44" s="187"/>
      <c r="L44" s="51">
        <v>0.05</v>
      </c>
      <c r="M44" s="43" t="s">
        <v>1059</v>
      </c>
      <c r="N44" s="50" t="e">
        <f>N43*5%</f>
        <v>#VALUE!</v>
      </c>
    </row>
    <row r="45" spans="1:14" ht="27.75" customHeight="1">
      <c r="A45" s="165" t="s">
        <v>5</v>
      </c>
      <c r="B45" s="166"/>
      <c r="C45" s="166"/>
      <c r="D45" s="166"/>
      <c r="E45" s="166"/>
      <c r="F45" s="166"/>
      <c r="G45" s="166"/>
      <c r="H45" s="166"/>
      <c r="I45" s="166"/>
      <c r="J45" s="167" t="s">
        <v>61</v>
      </c>
      <c r="K45" s="168"/>
      <c r="L45" s="169"/>
      <c r="M45" s="43" t="s">
        <v>1059</v>
      </c>
      <c r="N45" s="50" t="e">
        <f>SUM(N43:N44)</f>
        <v>#VALUE!</v>
      </c>
    </row>
    <row r="46" spans="1:14" ht="28.9" customHeight="1">
      <c r="A46" s="170" t="s">
        <v>62</v>
      </c>
      <c r="B46" s="171"/>
      <c r="C46" s="171"/>
      <c r="D46" s="171"/>
      <c r="E46" s="172"/>
      <c r="F46" s="176"/>
      <c r="G46" s="177"/>
      <c r="H46" s="177"/>
      <c r="I46" s="177"/>
      <c r="J46" s="178"/>
      <c r="K46" s="176"/>
      <c r="L46" s="177"/>
      <c r="M46" s="177"/>
      <c r="N46" s="182"/>
    </row>
    <row r="47" spans="1:14" ht="90" customHeight="1">
      <c r="A47" s="173"/>
      <c r="B47" s="174"/>
      <c r="C47" s="174"/>
      <c r="D47" s="174"/>
      <c r="E47" s="175"/>
      <c r="F47" s="179"/>
      <c r="G47" s="180"/>
      <c r="H47" s="180"/>
      <c r="I47" s="180"/>
      <c r="J47" s="181"/>
      <c r="K47" s="179"/>
      <c r="L47" s="180"/>
      <c r="M47" s="180"/>
      <c r="N47" s="183"/>
    </row>
    <row r="48" spans="1:14" ht="29.45" customHeight="1">
      <c r="A48" s="139" t="s">
        <v>63</v>
      </c>
      <c r="B48" s="140"/>
      <c r="C48" s="140"/>
      <c r="D48" s="140"/>
      <c r="E48" s="140"/>
      <c r="F48" s="194"/>
      <c r="G48" s="195"/>
      <c r="H48" s="195"/>
      <c r="I48" s="195"/>
      <c r="J48" s="196"/>
      <c r="K48" s="194"/>
      <c r="L48" s="195"/>
      <c r="M48" s="195"/>
      <c r="N48" s="197"/>
    </row>
    <row r="49" spans="1:14" ht="22.5" customHeight="1" thickBot="1">
      <c r="A49" s="188" t="s">
        <v>64</v>
      </c>
      <c r="B49" s="189"/>
      <c r="C49" s="189"/>
      <c r="D49" s="189"/>
      <c r="E49" s="189"/>
      <c r="F49" s="190" t="s">
        <v>65</v>
      </c>
      <c r="G49" s="191"/>
      <c r="H49" s="191"/>
      <c r="I49" s="191"/>
      <c r="J49" s="192"/>
      <c r="K49" s="190" t="s">
        <v>66</v>
      </c>
      <c r="L49" s="191"/>
      <c r="M49" s="191"/>
      <c r="N49" s="193"/>
    </row>
    <row r="57" spans="1:14" ht="28.35" customHeight="1"/>
    <row r="58" spans="1:14" ht="28.35" customHeight="1"/>
    <row r="65" ht="16.350000000000001" customHeight="1"/>
    <row r="66" ht="16.350000000000001" customHeight="1"/>
    <row r="67" ht="16.350000000000001" customHeight="1"/>
  </sheetData>
  <mergeCells count="65">
    <mergeCell ref="A49:E49"/>
    <mergeCell ref="F49:J49"/>
    <mergeCell ref="K49:N49"/>
    <mergeCell ref="A48:E48"/>
    <mergeCell ref="F48:J48"/>
    <mergeCell ref="K48:N48"/>
    <mergeCell ref="A40:E40"/>
    <mergeCell ref="A45:I45"/>
    <mergeCell ref="J45:L45"/>
    <mergeCell ref="A46:E47"/>
    <mergeCell ref="F46:J47"/>
    <mergeCell ref="K46:N47"/>
    <mergeCell ref="A43:I43"/>
    <mergeCell ref="J43:L43"/>
    <mergeCell ref="A44:I44"/>
    <mergeCell ref="J44:K44"/>
    <mergeCell ref="A41:E41"/>
    <mergeCell ref="A42:E42"/>
    <mergeCell ref="A29:E29"/>
    <mergeCell ref="A30:E30"/>
    <mergeCell ref="A31:E31"/>
    <mergeCell ref="A32:E32"/>
    <mergeCell ref="A39:E39"/>
    <mergeCell ref="A34:E34"/>
    <mergeCell ref="A35:E35"/>
    <mergeCell ref="A36:E36"/>
    <mergeCell ref="A37:E37"/>
    <mergeCell ref="A38:E38"/>
    <mergeCell ref="A33:E33"/>
    <mergeCell ref="A24:E24"/>
    <mergeCell ref="A25:E25"/>
    <mergeCell ref="A26:E26"/>
    <mergeCell ref="A27:E27"/>
    <mergeCell ref="A28:E28"/>
    <mergeCell ref="A23:E23"/>
    <mergeCell ref="A8:B8"/>
    <mergeCell ref="C8:K8"/>
    <mergeCell ref="L8:M8"/>
    <mergeCell ref="A21:E21"/>
    <mergeCell ref="H10:N10"/>
    <mergeCell ref="A11:E11"/>
    <mergeCell ref="A13:E13"/>
    <mergeCell ref="A14:E14"/>
    <mergeCell ref="A15:E15"/>
    <mergeCell ref="A16:E16"/>
    <mergeCell ref="A17:E17"/>
    <mergeCell ref="A18:E18"/>
    <mergeCell ref="A19:E19"/>
    <mergeCell ref="A20:E20"/>
    <mergeCell ref="A5:K5"/>
    <mergeCell ref="L5:M5"/>
    <mergeCell ref="A6:B6"/>
    <mergeCell ref="C6:K6"/>
    <mergeCell ref="A22:E22"/>
    <mergeCell ref="L6:M6"/>
    <mergeCell ref="A9:B9"/>
    <mergeCell ref="C9:K9"/>
    <mergeCell ref="A7:B7"/>
    <mergeCell ref="C7:K7"/>
    <mergeCell ref="L7:M7"/>
    <mergeCell ref="A1:B4"/>
    <mergeCell ref="C1:N1"/>
    <mergeCell ref="C2:N2"/>
    <mergeCell ref="C3:N3"/>
    <mergeCell ref="C4:N4"/>
  </mergeCells>
  <pageMargins left="0" right="0" top="0" bottom="0" header="0" footer="0"/>
  <pageSetup paperSize="9" scale="65" orientation="portrait" r:id="rId1"/>
  <colBreaks count="1" manualBreakCount="1">
    <brk id="14" max="1048575" man="1"/>
  </colBreaks>
  <ignoredErrors>
    <ignoredError sqref="N8 C7:K8 D6:K6 B13:E13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aveSheetAsPDFWithInvoiceNumber">
                <anchor moveWithCells="1" sizeWithCells="1">
                  <from>
                    <xdr:col>17</xdr:col>
                    <xdr:colOff>76200</xdr:colOff>
                    <xdr:row>3</xdr:row>
                    <xdr:rowOff>123825</xdr:rowOff>
                  </from>
                  <to>
                    <xdr:col>22</xdr:col>
                    <xdr:colOff>600075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SaveAndEmailPDF_InvoiceNumber">
                <anchor moveWithCells="1" sizeWithCells="1">
                  <from>
                    <xdr:col>17</xdr:col>
                    <xdr:colOff>76200</xdr:colOff>
                    <xdr:row>8</xdr:row>
                    <xdr:rowOff>266700</xdr:rowOff>
                  </from>
                  <to>
                    <xdr:col>22</xdr:col>
                    <xdr:colOff>600075</xdr:colOff>
                    <xdr:row>10</xdr:row>
                    <xdr:rowOff>295275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7EE71E-436C-41FA-8B1A-F888ACB3456D}">
  <sheetPr codeName="Sheet3"/>
  <dimension ref="A1:K988"/>
  <sheetViews>
    <sheetView topLeftCell="A662" zoomScale="85" zoomScaleNormal="85" workbookViewId="0">
      <selection activeCell="A683" sqref="A683"/>
    </sheetView>
  </sheetViews>
  <sheetFormatPr defaultRowHeight="15"/>
  <cols>
    <col min="1" max="1" width="43.85546875" style="66" customWidth="1"/>
    <col min="2" max="2" width="17.7109375" style="67" customWidth="1"/>
    <col min="5" max="5" width="45.28515625" style="67" bestFit="1" customWidth="1"/>
    <col min="6" max="6" width="49.5703125" style="67" customWidth="1"/>
    <col min="7" max="7" width="20.28515625" style="67" bestFit="1" customWidth="1"/>
    <col min="8" max="8" width="17.7109375" style="67" bestFit="1" customWidth="1"/>
    <col min="9" max="9" width="21" style="67" bestFit="1" customWidth="1"/>
    <col min="10" max="10" width="26.7109375" style="67" bestFit="1" customWidth="1"/>
    <col min="11" max="11" width="9.85546875" style="67" customWidth="1"/>
  </cols>
  <sheetData>
    <row r="1" spans="1:11" ht="15.75">
      <c r="A1" s="61" t="s">
        <v>72</v>
      </c>
      <c r="B1" s="62" t="s">
        <v>73</v>
      </c>
      <c r="E1" s="68" t="s">
        <v>680</v>
      </c>
      <c r="F1" s="68" t="s">
        <v>681</v>
      </c>
      <c r="G1" s="68" t="s">
        <v>682</v>
      </c>
      <c r="H1" s="68" t="s">
        <v>683</v>
      </c>
      <c r="I1" s="68" t="s">
        <v>684</v>
      </c>
      <c r="J1" s="68" t="s">
        <v>685</v>
      </c>
      <c r="K1" s="68" t="s">
        <v>686</v>
      </c>
    </row>
    <row r="2" spans="1:11" ht="15.75">
      <c r="A2" s="63" t="s">
        <v>74</v>
      </c>
      <c r="B2" s="64">
        <v>2000</v>
      </c>
      <c r="E2" s="91" t="s">
        <v>707</v>
      </c>
      <c r="F2" s="91" t="s">
        <v>715</v>
      </c>
      <c r="G2" s="91" t="s">
        <v>728</v>
      </c>
      <c r="H2" s="91">
        <v>1234567890</v>
      </c>
      <c r="I2" s="90" t="s">
        <v>735</v>
      </c>
      <c r="J2" s="90"/>
      <c r="K2" s="70" t="s">
        <v>743</v>
      </c>
    </row>
    <row r="3" spans="1:11" ht="15.75">
      <c r="A3" s="63" t="s">
        <v>75</v>
      </c>
      <c r="B3" s="64">
        <v>900</v>
      </c>
      <c r="E3" s="91" t="s">
        <v>712</v>
      </c>
      <c r="F3" s="91" t="s">
        <v>720</v>
      </c>
      <c r="G3" s="91" t="s">
        <v>732</v>
      </c>
      <c r="H3" s="91" t="s">
        <v>726</v>
      </c>
      <c r="I3" s="90" t="s">
        <v>740</v>
      </c>
      <c r="J3" s="90"/>
      <c r="K3" s="70" t="s">
        <v>748</v>
      </c>
    </row>
    <row r="4" spans="1:11" ht="15.75">
      <c r="A4" s="63" t="s">
        <v>76</v>
      </c>
      <c r="B4" s="64">
        <v>2300</v>
      </c>
      <c r="E4" s="91" t="s">
        <v>751</v>
      </c>
      <c r="F4" s="91" t="s">
        <v>752</v>
      </c>
      <c r="G4" s="91" t="s">
        <v>753</v>
      </c>
      <c r="H4" s="91">
        <v>97125667175</v>
      </c>
      <c r="I4" s="90" t="s">
        <v>757</v>
      </c>
      <c r="J4" s="90"/>
      <c r="K4" s="70" t="s">
        <v>750</v>
      </c>
    </row>
    <row r="5" spans="1:11" ht="15.75">
      <c r="A5" s="63" t="s">
        <v>77</v>
      </c>
      <c r="B5" s="64">
        <v>1200</v>
      </c>
      <c r="E5" s="91" t="s">
        <v>768</v>
      </c>
      <c r="F5" s="91" t="s">
        <v>769</v>
      </c>
      <c r="G5" s="91" t="s">
        <v>772</v>
      </c>
      <c r="H5" s="91" t="s">
        <v>770</v>
      </c>
      <c r="I5" s="90" t="s">
        <v>771</v>
      </c>
      <c r="J5" s="90"/>
      <c r="K5" s="70" t="s">
        <v>758</v>
      </c>
    </row>
    <row r="6" spans="1:11" ht="15.75">
      <c r="A6" s="63" t="s">
        <v>78</v>
      </c>
      <c r="B6" s="64">
        <v>200</v>
      </c>
      <c r="E6" s="91" t="s">
        <v>783</v>
      </c>
      <c r="F6" s="91" t="s">
        <v>782</v>
      </c>
      <c r="G6" s="91" t="s">
        <v>792</v>
      </c>
      <c r="H6" s="91" t="s">
        <v>787</v>
      </c>
      <c r="I6" s="90" t="s">
        <v>788</v>
      </c>
      <c r="J6" s="90"/>
      <c r="K6" s="70" t="s">
        <v>763</v>
      </c>
    </row>
    <row r="7" spans="1:11" ht="15.75">
      <c r="A7" s="63" t="s">
        <v>79</v>
      </c>
      <c r="B7" s="64">
        <v>1000</v>
      </c>
      <c r="E7" s="91" t="s">
        <v>781</v>
      </c>
      <c r="F7" s="91" t="s">
        <v>782</v>
      </c>
      <c r="G7" s="91" t="s">
        <v>792</v>
      </c>
      <c r="H7" s="91" t="s">
        <v>787</v>
      </c>
      <c r="I7" s="90" t="s">
        <v>788</v>
      </c>
      <c r="J7" s="90"/>
      <c r="K7" s="70" t="s">
        <v>762</v>
      </c>
    </row>
    <row r="8" spans="1:11" ht="15.75">
      <c r="A8" s="63" t="s">
        <v>80</v>
      </c>
      <c r="B8" s="64">
        <v>250</v>
      </c>
      <c r="E8" s="91" t="s">
        <v>822</v>
      </c>
      <c r="F8" s="91" t="s">
        <v>823</v>
      </c>
      <c r="G8" s="91"/>
      <c r="H8" s="92" t="s">
        <v>824</v>
      </c>
      <c r="I8" s="90"/>
      <c r="J8" s="90"/>
      <c r="K8" s="70" t="s">
        <v>764</v>
      </c>
    </row>
    <row r="9" spans="1:11" ht="15.75">
      <c r="A9" s="63" t="s">
        <v>81</v>
      </c>
      <c r="B9" s="64">
        <v>75</v>
      </c>
      <c r="E9" s="91" t="s">
        <v>779</v>
      </c>
      <c r="F9" s="91" t="s">
        <v>780</v>
      </c>
      <c r="G9" s="91" t="s">
        <v>791</v>
      </c>
      <c r="H9" s="91" t="s">
        <v>785</v>
      </c>
      <c r="I9" s="90" t="s">
        <v>786</v>
      </c>
      <c r="J9" s="90"/>
      <c r="K9" s="70" t="s">
        <v>761</v>
      </c>
    </row>
    <row r="10" spans="1:11" ht="15.75">
      <c r="A10" s="63" t="s">
        <v>82</v>
      </c>
      <c r="B10" s="64">
        <v>150</v>
      </c>
      <c r="E10" s="88" t="s">
        <v>825</v>
      </c>
      <c r="F10" s="88" t="s">
        <v>826</v>
      </c>
      <c r="G10" s="89"/>
      <c r="H10" s="89" t="s">
        <v>827</v>
      </c>
      <c r="I10" s="90" t="s">
        <v>828</v>
      </c>
      <c r="J10" s="90"/>
      <c r="K10" s="70" t="s">
        <v>765</v>
      </c>
    </row>
    <row r="11" spans="1:11" ht="15.75">
      <c r="A11" s="63" t="s">
        <v>83</v>
      </c>
      <c r="B11" s="64">
        <v>500</v>
      </c>
      <c r="E11" s="91" t="s">
        <v>829</v>
      </c>
      <c r="F11" s="91" t="s">
        <v>830</v>
      </c>
      <c r="G11" s="91" t="s">
        <v>832</v>
      </c>
      <c r="H11" s="91"/>
      <c r="I11" s="90" t="s">
        <v>831</v>
      </c>
      <c r="J11" s="90"/>
      <c r="K11" s="70" t="s">
        <v>766</v>
      </c>
    </row>
    <row r="12" spans="1:11" ht="15.75">
      <c r="A12" s="63" t="s">
        <v>84</v>
      </c>
      <c r="B12" s="64">
        <v>650</v>
      </c>
      <c r="E12" s="91" t="s">
        <v>979</v>
      </c>
      <c r="F12" s="91" t="s">
        <v>980</v>
      </c>
      <c r="G12" s="91" t="s">
        <v>992</v>
      </c>
      <c r="H12" s="91" t="s">
        <v>987</v>
      </c>
      <c r="I12" s="90" t="s">
        <v>988</v>
      </c>
      <c r="J12" s="90"/>
      <c r="K12" s="70" t="s">
        <v>952</v>
      </c>
    </row>
    <row r="13" spans="1:11" ht="15.75">
      <c r="A13" s="63" t="s">
        <v>85</v>
      </c>
      <c r="B13" s="64">
        <v>2950</v>
      </c>
      <c r="E13" s="91" t="s">
        <v>708</v>
      </c>
      <c r="F13" s="91" t="s">
        <v>716</v>
      </c>
      <c r="G13" s="91" t="s">
        <v>729</v>
      </c>
      <c r="H13" s="91" t="s">
        <v>723</v>
      </c>
      <c r="I13" s="90" t="s">
        <v>736</v>
      </c>
      <c r="J13" s="90"/>
      <c r="K13" s="70" t="s">
        <v>744</v>
      </c>
    </row>
    <row r="14" spans="1:11" ht="15.75">
      <c r="A14" s="63" t="s">
        <v>86</v>
      </c>
      <c r="B14" s="64">
        <v>750</v>
      </c>
      <c r="E14" s="91" t="s">
        <v>837</v>
      </c>
      <c r="F14" s="91" t="s">
        <v>838</v>
      </c>
      <c r="G14" s="91"/>
      <c r="H14" s="91">
        <v>96594076444</v>
      </c>
      <c r="I14" s="90" t="s">
        <v>839</v>
      </c>
      <c r="J14" s="90"/>
      <c r="K14" s="70" t="s">
        <v>793</v>
      </c>
    </row>
    <row r="15" spans="1:11" ht="15.75">
      <c r="A15" s="63" t="s">
        <v>87</v>
      </c>
      <c r="B15" s="64">
        <v>2000</v>
      </c>
      <c r="E15" s="91" t="s">
        <v>833</v>
      </c>
      <c r="F15" s="91" t="s">
        <v>834</v>
      </c>
      <c r="G15" s="91" t="s">
        <v>836</v>
      </c>
      <c r="H15" s="91">
        <v>43387700</v>
      </c>
      <c r="I15" s="90" t="s">
        <v>835</v>
      </c>
      <c r="J15" s="90"/>
      <c r="K15" s="70" t="s">
        <v>767</v>
      </c>
    </row>
    <row r="16" spans="1:11" ht="15.75">
      <c r="A16" s="63" t="s">
        <v>88</v>
      </c>
      <c r="B16" s="64">
        <v>2000</v>
      </c>
      <c r="E16" s="91" t="s">
        <v>844</v>
      </c>
      <c r="F16" s="91" t="s">
        <v>845</v>
      </c>
      <c r="G16" s="91" t="s">
        <v>851</v>
      </c>
      <c r="H16" s="91" t="s">
        <v>910</v>
      </c>
      <c r="I16" s="90" t="s">
        <v>849</v>
      </c>
      <c r="J16" s="90"/>
      <c r="K16" s="70" t="s">
        <v>796</v>
      </c>
    </row>
    <row r="17" spans="1:11" ht="15.75">
      <c r="A17" s="63" t="s">
        <v>89</v>
      </c>
      <c r="B17" s="64">
        <v>30</v>
      </c>
      <c r="E17" s="91" t="s">
        <v>856</v>
      </c>
      <c r="F17" s="91" t="s">
        <v>857</v>
      </c>
      <c r="G17" s="91" t="s">
        <v>862</v>
      </c>
      <c r="H17" s="91" t="s">
        <v>860</v>
      </c>
      <c r="I17" s="90" t="s">
        <v>861</v>
      </c>
      <c r="J17" s="90"/>
      <c r="K17" s="70" t="s">
        <v>799</v>
      </c>
    </row>
    <row r="18" spans="1:11" ht="15.75">
      <c r="A18" s="63" t="s">
        <v>90</v>
      </c>
      <c r="B18" s="63"/>
      <c r="E18" s="91" t="s">
        <v>935</v>
      </c>
      <c r="F18" s="91" t="s">
        <v>936</v>
      </c>
      <c r="G18" s="91" t="s">
        <v>941</v>
      </c>
      <c r="H18" s="91" t="s">
        <v>872</v>
      </c>
      <c r="I18" s="90" t="s">
        <v>939</v>
      </c>
      <c r="J18" s="90"/>
      <c r="K18" s="70" t="s">
        <v>818</v>
      </c>
    </row>
    <row r="19" spans="1:11" ht="15.75">
      <c r="A19" s="63" t="s">
        <v>91</v>
      </c>
      <c r="B19" s="64">
        <v>250</v>
      </c>
      <c r="E19" s="91" t="s">
        <v>773</v>
      </c>
      <c r="F19" s="91" t="s">
        <v>774</v>
      </c>
      <c r="G19" s="92" t="s">
        <v>776</v>
      </c>
      <c r="H19" s="91">
        <v>97124446900</v>
      </c>
      <c r="I19" s="90" t="s">
        <v>775</v>
      </c>
      <c r="J19" s="90"/>
      <c r="K19" s="70" t="s">
        <v>759</v>
      </c>
    </row>
    <row r="20" spans="1:11" ht="15.75">
      <c r="A20" s="63" t="s">
        <v>92</v>
      </c>
      <c r="B20" s="63"/>
      <c r="E20" s="91" t="s">
        <v>944</v>
      </c>
      <c r="F20" s="91" t="s">
        <v>945</v>
      </c>
      <c r="G20" s="91" t="s">
        <v>950</v>
      </c>
      <c r="H20" s="91" t="s">
        <v>948</v>
      </c>
      <c r="I20" s="90"/>
      <c r="J20" s="90"/>
      <c r="K20" s="70" t="s">
        <v>821</v>
      </c>
    </row>
    <row r="21" spans="1:11" ht="15.75">
      <c r="A21" s="63" t="s">
        <v>93</v>
      </c>
      <c r="B21" s="64">
        <v>400</v>
      </c>
      <c r="E21" s="91" t="s">
        <v>842</v>
      </c>
      <c r="F21" s="91" t="s">
        <v>843</v>
      </c>
      <c r="G21" s="91"/>
      <c r="H21" s="91">
        <v>33614395147</v>
      </c>
      <c r="I21" s="90" t="s">
        <v>848</v>
      </c>
      <c r="J21" s="90"/>
      <c r="K21" s="70" t="s">
        <v>795</v>
      </c>
    </row>
    <row r="22" spans="1:11" ht="15.75">
      <c r="A22" s="63" t="s">
        <v>94</v>
      </c>
      <c r="B22" s="64">
        <v>300</v>
      </c>
      <c r="E22" s="91" t="s">
        <v>840</v>
      </c>
      <c r="F22" s="91" t="s">
        <v>841</v>
      </c>
      <c r="G22" s="91" t="s">
        <v>850</v>
      </c>
      <c r="H22" s="91" t="s">
        <v>846</v>
      </c>
      <c r="I22" s="90" t="s">
        <v>847</v>
      </c>
      <c r="J22" s="90"/>
      <c r="K22" s="70" t="s">
        <v>794</v>
      </c>
    </row>
    <row r="23" spans="1:11" ht="15.75">
      <c r="A23" s="63" t="s">
        <v>95</v>
      </c>
      <c r="B23" s="64">
        <v>250</v>
      </c>
      <c r="E23" s="91" t="s">
        <v>69</v>
      </c>
      <c r="F23" s="91" t="s">
        <v>70</v>
      </c>
      <c r="G23" s="91" t="s">
        <v>693</v>
      </c>
      <c r="H23" s="91" t="s">
        <v>71</v>
      </c>
      <c r="I23" s="90" t="s">
        <v>1053</v>
      </c>
      <c r="J23" s="90"/>
      <c r="K23" s="70" t="s">
        <v>694</v>
      </c>
    </row>
    <row r="24" spans="1:11" ht="15.75">
      <c r="A24" s="63" t="s">
        <v>96</v>
      </c>
      <c r="B24" s="64">
        <v>50</v>
      </c>
      <c r="E24" s="91" t="s">
        <v>706</v>
      </c>
      <c r="F24" s="91" t="s">
        <v>715</v>
      </c>
      <c r="G24" s="91" t="s">
        <v>727</v>
      </c>
      <c r="H24" s="91">
        <v>1234567890</v>
      </c>
      <c r="I24" s="90" t="s">
        <v>735</v>
      </c>
      <c r="J24" s="90"/>
      <c r="K24" s="70" t="s">
        <v>742</v>
      </c>
    </row>
    <row r="25" spans="1:11" ht="15.75">
      <c r="A25" s="63" t="s">
        <v>97</v>
      </c>
      <c r="B25" s="64">
        <v>200</v>
      </c>
      <c r="E25" s="91" t="s">
        <v>867</v>
      </c>
      <c r="F25" s="91" t="s">
        <v>868</v>
      </c>
      <c r="G25" s="91" t="s">
        <v>869</v>
      </c>
      <c r="H25" s="91"/>
      <c r="I25" s="90"/>
      <c r="J25" s="90"/>
      <c r="K25" s="70" t="s">
        <v>801</v>
      </c>
    </row>
    <row r="26" spans="1:11" ht="15.75">
      <c r="A26" s="63" t="s">
        <v>98</v>
      </c>
      <c r="B26" s="64">
        <v>750</v>
      </c>
      <c r="E26" s="91" t="s">
        <v>711</v>
      </c>
      <c r="F26" s="91" t="s">
        <v>719</v>
      </c>
      <c r="G26" s="91" t="s">
        <v>731</v>
      </c>
      <c r="H26" s="91" t="s">
        <v>755</v>
      </c>
      <c r="I26" s="90" t="s">
        <v>739</v>
      </c>
      <c r="J26" s="90"/>
      <c r="K26" s="70" t="s">
        <v>747</v>
      </c>
    </row>
    <row r="27" spans="1:11" ht="15.75">
      <c r="A27" s="63" t="s">
        <v>99</v>
      </c>
      <c r="B27" s="64">
        <v>200</v>
      </c>
      <c r="E27" s="91" t="s">
        <v>870</v>
      </c>
      <c r="F27" s="91" t="s">
        <v>871</v>
      </c>
      <c r="G27" s="91" t="s">
        <v>874</v>
      </c>
      <c r="H27" s="91">
        <v>971559296080</v>
      </c>
      <c r="I27" s="69" t="s">
        <v>873</v>
      </c>
      <c r="J27" s="90"/>
      <c r="K27" s="70" t="s">
        <v>802</v>
      </c>
    </row>
    <row r="28" spans="1:11" ht="15.75">
      <c r="A28" s="63" t="s">
        <v>100</v>
      </c>
      <c r="B28" s="64">
        <v>500</v>
      </c>
      <c r="E28" s="91" t="s">
        <v>977</v>
      </c>
      <c r="F28" s="91" t="s">
        <v>978</v>
      </c>
      <c r="G28" s="91" t="s">
        <v>991</v>
      </c>
      <c r="H28" s="91" t="s">
        <v>985</v>
      </c>
      <c r="I28" s="90" t="s">
        <v>986</v>
      </c>
      <c r="J28" s="90"/>
      <c r="K28" s="70" t="s">
        <v>951</v>
      </c>
    </row>
    <row r="29" spans="1:11" ht="15.75">
      <c r="A29" s="63" t="s">
        <v>101</v>
      </c>
      <c r="B29" s="64">
        <v>750</v>
      </c>
      <c r="E29" s="91" t="s">
        <v>875</v>
      </c>
      <c r="F29" s="91" t="s">
        <v>876</v>
      </c>
      <c r="G29" s="92" t="s">
        <v>67</v>
      </c>
      <c r="H29" s="92" t="s">
        <v>877</v>
      </c>
      <c r="I29" s="69" t="s">
        <v>878</v>
      </c>
      <c r="J29" s="90"/>
      <c r="K29" s="70" t="s">
        <v>803</v>
      </c>
    </row>
    <row r="30" spans="1:11" ht="15.75">
      <c r="A30" s="63" t="s">
        <v>102</v>
      </c>
      <c r="B30" s="64">
        <v>1200</v>
      </c>
      <c r="E30" s="91" t="s">
        <v>709</v>
      </c>
      <c r="F30" s="91" t="s">
        <v>717</v>
      </c>
      <c r="G30" s="91"/>
      <c r="H30" s="91" t="s">
        <v>724</v>
      </c>
      <c r="I30" s="90" t="s">
        <v>737</v>
      </c>
      <c r="J30" s="90"/>
      <c r="K30" s="70" t="s">
        <v>745</v>
      </c>
    </row>
    <row r="31" spans="1:11" ht="15.75">
      <c r="A31" s="63" t="s">
        <v>103</v>
      </c>
      <c r="B31" s="64">
        <v>1750</v>
      </c>
      <c r="E31" s="91" t="s">
        <v>889</v>
      </c>
      <c r="F31" s="91" t="s">
        <v>884</v>
      </c>
      <c r="G31" s="91" t="s">
        <v>890</v>
      </c>
      <c r="H31" s="91">
        <v>97126811383</v>
      </c>
      <c r="I31" s="90" t="s">
        <v>886</v>
      </c>
      <c r="J31" s="90"/>
      <c r="K31" s="70" t="s">
        <v>807</v>
      </c>
    </row>
    <row r="32" spans="1:11" ht="15.75">
      <c r="A32" s="63" t="s">
        <v>104</v>
      </c>
      <c r="B32" s="64">
        <v>50</v>
      </c>
      <c r="E32" s="91" t="s">
        <v>893</v>
      </c>
      <c r="F32" s="91" t="s">
        <v>894</v>
      </c>
      <c r="G32" s="91" t="s">
        <v>897</v>
      </c>
      <c r="H32" s="92" t="s">
        <v>913</v>
      </c>
      <c r="I32" s="90" t="s">
        <v>896</v>
      </c>
      <c r="J32" s="90"/>
      <c r="K32" s="70" t="s">
        <v>809</v>
      </c>
    </row>
    <row r="33" spans="1:11" ht="15.75">
      <c r="A33" s="63" t="s">
        <v>105</v>
      </c>
      <c r="B33" s="64">
        <v>550</v>
      </c>
      <c r="E33" s="91" t="s">
        <v>879</v>
      </c>
      <c r="F33" s="91"/>
      <c r="G33" s="91"/>
      <c r="H33" s="91"/>
      <c r="I33" s="69" t="s">
        <v>880</v>
      </c>
      <c r="J33" s="90"/>
      <c r="K33" s="70" t="s">
        <v>804</v>
      </c>
    </row>
    <row r="34" spans="1:11" ht="15.75">
      <c r="A34" s="63" t="s">
        <v>106</v>
      </c>
      <c r="B34" s="64">
        <v>0</v>
      </c>
      <c r="E34" s="91" t="s">
        <v>883</v>
      </c>
      <c r="F34" s="91" t="s">
        <v>884</v>
      </c>
      <c r="G34" s="91" t="s">
        <v>888</v>
      </c>
      <c r="H34" s="91">
        <v>97126811383</v>
      </c>
      <c r="I34" s="90" t="s">
        <v>886</v>
      </c>
      <c r="J34" s="90"/>
      <c r="K34" s="70" t="s">
        <v>806</v>
      </c>
    </row>
    <row r="35" spans="1:11" ht="15.75">
      <c r="A35" s="63" t="s">
        <v>107</v>
      </c>
      <c r="B35" s="64">
        <v>600</v>
      </c>
      <c r="E35" s="91" t="s">
        <v>891</v>
      </c>
      <c r="F35" s="91" t="s">
        <v>892</v>
      </c>
      <c r="G35" s="91"/>
      <c r="H35" s="91">
        <v>961121434</v>
      </c>
      <c r="I35" s="90" t="s">
        <v>895</v>
      </c>
      <c r="J35" s="90"/>
      <c r="K35" s="70" t="s">
        <v>808</v>
      </c>
    </row>
    <row r="36" spans="1:11" ht="15.75">
      <c r="A36" s="63" t="s">
        <v>108</v>
      </c>
      <c r="B36" s="64">
        <v>450</v>
      </c>
      <c r="E36" s="91" t="s">
        <v>881</v>
      </c>
      <c r="F36" s="91" t="s">
        <v>882</v>
      </c>
      <c r="G36" s="91" t="s">
        <v>887</v>
      </c>
      <c r="H36" s="91" t="s">
        <v>885</v>
      </c>
      <c r="I36" s="90" t="s">
        <v>886</v>
      </c>
      <c r="J36" s="90"/>
      <c r="K36" s="70" t="s">
        <v>805</v>
      </c>
    </row>
    <row r="37" spans="1:11" ht="15.75">
      <c r="A37" s="63" t="s">
        <v>109</v>
      </c>
      <c r="B37" s="64">
        <v>150</v>
      </c>
      <c r="E37" s="91" t="s">
        <v>710</v>
      </c>
      <c r="F37" s="91" t="s">
        <v>718</v>
      </c>
      <c r="G37" s="91" t="s">
        <v>730</v>
      </c>
      <c r="H37" s="91" t="s">
        <v>725</v>
      </c>
      <c r="I37" s="90" t="s">
        <v>738</v>
      </c>
      <c r="J37" s="90"/>
      <c r="K37" s="70" t="s">
        <v>746</v>
      </c>
    </row>
    <row r="38" spans="1:11" ht="15.75">
      <c r="A38" s="63" t="s">
        <v>110</v>
      </c>
      <c r="B38" s="64">
        <v>500</v>
      </c>
      <c r="E38" s="91" t="s">
        <v>900</v>
      </c>
      <c r="F38" s="91" t="s">
        <v>901</v>
      </c>
      <c r="G38" s="91" t="s">
        <v>905</v>
      </c>
      <c r="H38" s="92" t="s">
        <v>909</v>
      </c>
      <c r="I38" s="90" t="s">
        <v>903</v>
      </c>
      <c r="J38" s="90"/>
      <c r="K38" s="70" t="s">
        <v>811</v>
      </c>
    </row>
    <row r="39" spans="1:11" ht="15.75">
      <c r="A39" s="63" t="s">
        <v>111</v>
      </c>
      <c r="B39" s="64">
        <v>60</v>
      </c>
      <c r="E39" s="91" t="s">
        <v>906</v>
      </c>
      <c r="F39" s="91" t="s">
        <v>907</v>
      </c>
      <c r="G39" s="91"/>
      <c r="H39" s="92" t="s">
        <v>908</v>
      </c>
      <c r="I39" s="90"/>
      <c r="J39" s="90"/>
      <c r="K39" s="70" t="s">
        <v>812</v>
      </c>
    </row>
    <row r="40" spans="1:11" ht="15.75">
      <c r="A40" s="63" t="s">
        <v>112</v>
      </c>
      <c r="B40" s="64">
        <v>850</v>
      </c>
      <c r="E40" s="91" t="s">
        <v>898</v>
      </c>
      <c r="F40" s="91" t="s">
        <v>899</v>
      </c>
      <c r="G40" s="91" t="s">
        <v>904</v>
      </c>
      <c r="H40" s="92" t="s">
        <v>912</v>
      </c>
      <c r="I40" s="90" t="s">
        <v>902</v>
      </c>
      <c r="J40" s="90"/>
      <c r="K40" s="70" t="s">
        <v>810</v>
      </c>
    </row>
    <row r="41" spans="1:11" ht="15.75">
      <c r="A41" s="63" t="s">
        <v>113</v>
      </c>
      <c r="B41" s="64">
        <v>650</v>
      </c>
      <c r="E41" s="91" t="s">
        <v>914</v>
      </c>
      <c r="F41" s="91" t="s">
        <v>915</v>
      </c>
      <c r="G41" s="91" t="s">
        <v>916</v>
      </c>
      <c r="H41" s="92" t="s">
        <v>917</v>
      </c>
      <c r="I41" s="90" t="s">
        <v>918</v>
      </c>
      <c r="J41" s="90" t="s">
        <v>919</v>
      </c>
      <c r="K41" s="70" t="s">
        <v>813</v>
      </c>
    </row>
    <row r="42" spans="1:11" ht="15.75">
      <c r="A42" s="63" t="s">
        <v>114</v>
      </c>
      <c r="B42" s="64">
        <v>4000</v>
      </c>
      <c r="E42" s="91" t="s">
        <v>920</v>
      </c>
      <c r="F42" s="91" t="s">
        <v>921</v>
      </c>
      <c r="G42" s="91" t="s">
        <v>922</v>
      </c>
      <c r="H42" s="91" t="s">
        <v>923</v>
      </c>
      <c r="I42" s="90" t="s">
        <v>924</v>
      </c>
      <c r="J42" s="90"/>
      <c r="K42" s="70" t="s">
        <v>814</v>
      </c>
    </row>
    <row r="43" spans="1:11" ht="15.75">
      <c r="A43" s="63" t="s">
        <v>115</v>
      </c>
      <c r="B43" s="64">
        <v>2800</v>
      </c>
      <c r="E43" s="91" t="s">
        <v>864</v>
      </c>
      <c r="F43" s="91" t="s">
        <v>865</v>
      </c>
      <c r="G43" s="91" t="s">
        <v>866</v>
      </c>
      <c r="H43" s="91">
        <v>22222221</v>
      </c>
      <c r="I43" s="69" t="s">
        <v>863</v>
      </c>
      <c r="J43" s="90"/>
      <c r="K43" s="70" t="s">
        <v>800</v>
      </c>
    </row>
    <row r="44" spans="1:11" ht="15.75">
      <c r="A44" s="63" t="s">
        <v>116</v>
      </c>
      <c r="B44" s="64">
        <v>1750</v>
      </c>
      <c r="E44" s="91" t="s">
        <v>1003</v>
      </c>
      <c r="F44" s="91" t="s">
        <v>1002</v>
      </c>
      <c r="G44" s="91" t="s">
        <v>1012</v>
      </c>
      <c r="H44" s="91" t="s">
        <v>1008</v>
      </c>
      <c r="I44" s="90" t="s">
        <v>1009</v>
      </c>
      <c r="J44" s="90"/>
      <c r="K44" s="70" t="s">
        <v>957</v>
      </c>
    </row>
    <row r="45" spans="1:11" ht="15.75">
      <c r="A45" s="63" t="s">
        <v>117</v>
      </c>
      <c r="B45" s="64">
        <v>220</v>
      </c>
      <c r="E45" s="91" t="s">
        <v>925</v>
      </c>
      <c r="F45" s="91" t="s">
        <v>926</v>
      </c>
      <c r="G45" s="91" t="s">
        <v>928</v>
      </c>
      <c r="H45" s="92" t="s">
        <v>927</v>
      </c>
      <c r="I45" s="90"/>
      <c r="J45" s="90"/>
      <c r="K45" s="70" t="s">
        <v>815</v>
      </c>
    </row>
    <row r="46" spans="1:11" ht="15.75">
      <c r="A46" s="63" t="s">
        <v>118</v>
      </c>
      <c r="B46" s="64">
        <v>250</v>
      </c>
      <c r="E46" s="91" t="s">
        <v>929</v>
      </c>
      <c r="F46" s="91" t="s">
        <v>930</v>
      </c>
      <c r="G46" s="91"/>
      <c r="H46" s="91" t="s">
        <v>933</v>
      </c>
      <c r="I46" s="90" t="s">
        <v>934</v>
      </c>
      <c r="J46" s="90"/>
      <c r="K46" s="70" t="s">
        <v>816</v>
      </c>
    </row>
    <row r="47" spans="1:11" ht="15.75">
      <c r="A47" s="63" t="s">
        <v>119</v>
      </c>
      <c r="B47" s="64">
        <v>200</v>
      </c>
      <c r="E47" s="91" t="s">
        <v>931</v>
      </c>
      <c r="F47" s="91" t="s">
        <v>932</v>
      </c>
      <c r="G47" s="91"/>
      <c r="H47" s="91" t="s">
        <v>933</v>
      </c>
      <c r="I47" s="90" t="s">
        <v>934</v>
      </c>
      <c r="J47" s="90"/>
      <c r="K47" s="70" t="s">
        <v>817</v>
      </c>
    </row>
    <row r="48" spans="1:11" ht="15.75">
      <c r="A48" s="63" t="s">
        <v>120</v>
      </c>
      <c r="B48" s="64">
        <v>340</v>
      </c>
      <c r="E48" s="91" t="s">
        <v>854</v>
      </c>
      <c r="F48" s="91" t="s">
        <v>855</v>
      </c>
      <c r="G48" s="91"/>
      <c r="H48" s="92" t="s">
        <v>911</v>
      </c>
      <c r="I48" s="90" t="s">
        <v>859</v>
      </c>
      <c r="J48" s="90"/>
      <c r="K48" s="70" t="s">
        <v>798</v>
      </c>
    </row>
    <row r="49" spans="1:11" ht="15.75">
      <c r="A49" s="63" t="s">
        <v>121</v>
      </c>
      <c r="B49" s="64">
        <v>340</v>
      </c>
      <c r="E49" s="88" t="s">
        <v>687</v>
      </c>
      <c r="F49" s="88" t="s">
        <v>688</v>
      </c>
      <c r="G49" s="89" t="s">
        <v>689</v>
      </c>
      <c r="H49" s="89" t="s">
        <v>754</v>
      </c>
      <c r="I49" s="90" t="s">
        <v>690</v>
      </c>
      <c r="J49" s="90" t="s">
        <v>691</v>
      </c>
      <c r="K49" s="70" t="s">
        <v>692</v>
      </c>
    </row>
    <row r="50" spans="1:11" ht="15.75">
      <c r="A50" s="63" t="s">
        <v>122</v>
      </c>
      <c r="B50" s="64">
        <v>400</v>
      </c>
      <c r="E50" s="91" t="s">
        <v>852</v>
      </c>
      <c r="F50" s="91" t="s">
        <v>853</v>
      </c>
      <c r="G50" s="91"/>
      <c r="H50" s="91">
        <v>971547764555</v>
      </c>
      <c r="I50" s="90" t="s">
        <v>858</v>
      </c>
      <c r="J50" s="90"/>
      <c r="K50" s="70" t="s">
        <v>797</v>
      </c>
    </row>
    <row r="51" spans="1:11" ht="15.75">
      <c r="A51" s="63" t="s">
        <v>123</v>
      </c>
      <c r="B51" s="64">
        <v>440</v>
      </c>
      <c r="E51" s="91" t="s">
        <v>983</v>
      </c>
      <c r="F51" s="91" t="s">
        <v>984</v>
      </c>
      <c r="G51" s="91" t="s">
        <v>701</v>
      </c>
      <c r="H51" s="92" t="s">
        <v>999</v>
      </c>
      <c r="I51" s="90" t="s">
        <v>990</v>
      </c>
      <c r="J51" s="90"/>
      <c r="K51" s="70" t="s">
        <v>954</v>
      </c>
    </row>
    <row r="52" spans="1:11" ht="15.75">
      <c r="A52" s="63" t="s">
        <v>124</v>
      </c>
      <c r="B52" s="64">
        <v>310</v>
      </c>
      <c r="E52" s="91" t="s">
        <v>994</v>
      </c>
      <c r="F52" s="91" t="s">
        <v>995</v>
      </c>
      <c r="G52" s="91" t="s">
        <v>1000</v>
      </c>
      <c r="H52" s="91" t="s">
        <v>996</v>
      </c>
      <c r="I52" s="90" t="s">
        <v>997</v>
      </c>
      <c r="J52" s="90"/>
      <c r="K52" s="70" t="s">
        <v>955</v>
      </c>
    </row>
    <row r="53" spans="1:11" ht="15.75">
      <c r="A53" s="63" t="s">
        <v>125</v>
      </c>
      <c r="B53" s="64">
        <v>310</v>
      </c>
      <c r="E53" s="91" t="s">
        <v>1004</v>
      </c>
      <c r="F53" s="91" t="s">
        <v>1005</v>
      </c>
      <c r="G53" s="91" t="s">
        <v>1013</v>
      </c>
      <c r="H53" s="91" t="s">
        <v>1010</v>
      </c>
      <c r="I53" s="90" t="s">
        <v>1011</v>
      </c>
      <c r="J53" s="90"/>
      <c r="K53" s="70" t="s">
        <v>958</v>
      </c>
    </row>
    <row r="54" spans="1:11" ht="15.75">
      <c r="A54" s="63" t="s">
        <v>126</v>
      </c>
      <c r="B54" s="64">
        <v>880</v>
      </c>
      <c r="E54" s="91" t="s">
        <v>942</v>
      </c>
      <c r="F54" s="91" t="s">
        <v>943</v>
      </c>
      <c r="G54" s="91" t="s">
        <v>949</v>
      </c>
      <c r="H54" s="91" t="s">
        <v>946</v>
      </c>
      <c r="I54" s="90" t="s">
        <v>947</v>
      </c>
      <c r="J54" s="90"/>
      <c r="K54" s="70" t="s">
        <v>820</v>
      </c>
    </row>
    <row r="55" spans="1:11" ht="15.75">
      <c r="A55" s="63" t="s">
        <v>127</v>
      </c>
      <c r="B55" s="64">
        <v>950</v>
      </c>
      <c r="E55" s="91" t="s">
        <v>698</v>
      </c>
      <c r="F55" s="91" t="s">
        <v>699</v>
      </c>
      <c r="G55" s="91" t="s">
        <v>699</v>
      </c>
      <c r="H55" s="91" t="s">
        <v>699</v>
      </c>
      <c r="I55" s="90" t="s">
        <v>699</v>
      </c>
      <c r="J55" s="90" t="s">
        <v>699</v>
      </c>
      <c r="K55" s="70" t="s">
        <v>697</v>
      </c>
    </row>
    <row r="56" spans="1:11" ht="15.75">
      <c r="A56" s="63" t="s">
        <v>128</v>
      </c>
      <c r="B56" s="64">
        <v>280</v>
      </c>
      <c r="E56" s="91" t="s">
        <v>777</v>
      </c>
      <c r="F56" s="91" t="s">
        <v>778</v>
      </c>
      <c r="G56" s="91" t="s">
        <v>790</v>
      </c>
      <c r="H56" s="92" t="s">
        <v>789</v>
      </c>
      <c r="I56" s="90" t="s">
        <v>784</v>
      </c>
      <c r="J56" s="90"/>
      <c r="K56" s="70" t="s">
        <v>760</v>
      </c>
    </row>
    <row r="57" spans="1:11" ht="15.75">
      <c r="A57" s="63" t="s">
        <v>129</v>
      </c>
      <c r="B57" s="64">
        <v>280</v>
      </c>
      <c r="E57" s="91" t="s">
        <v>937</v>
      </c>
      <c r="F57" s="91" t="s">
        <v>938</v>
      </c>
      <c r="G57" s="91"/>
      <c r="H57" s="91" t="s">
        <v>940</v>
      </c>
      <c r="I57" s="90" t="s">
        <v>863</v>
      </c>
      <c r="J57" s="90"/>
      <c r="K57" s="70" t="s">
        <v>819</v>
      </c>
    </row>
    <row r="58" spans="1:11" ht="15.75">
      <c r="A58" s="63" t="s">
        <v>130</v>
      </c>
      <c r="B58" s="64">
        <v>780</v>
      </c>
      <c r="E58" s="91" t="s">
        <v>1014</v>
      </c>
      <c r="F58" s="91" t="s">
        <v>1015</v>
      </c>
      <c r="G58" s="91" t="s">
        <v>1017</v>
      </c>
      <c r="H58" s="91" t="s">
        <v>1016</v>
      </c>
      <c r="I58" s="90"/>
      <c r="J58" s="90"/>
      <c r="K58" s="70" t="s">
        <v>959</v>
      </c>
    </row>
    <row r="59" spans="1:11" ht="15.75">
      <c r="A59" s="63" t="s">
        <v>131</v>
      </c>
      <c r="B59" s="64">
        <v>230</v>
      </c>
      <c r="E59" s="91" t="s">
        <v>713</v>
      </c>
      <c r="F59" s="91" t="s">
        <v>721</v>
      </c>
      <c r="G59" s="91" t="s">
        <v>733</v>
      </c>
      <c r="H59" s="91" t="s">
        <v>756</v>
      </c>
      <c r="I59" s="90" t="s">
        <v>741</v>
      </c>
      <c r="J59" s="90"/>
      <c r="K59" s="70" t="s">
        <v>749</v>
      </c>
    </row>
    <row r="60" spans="1:11" ht="15.75">
      <c r="A60" s="63" t="s">
        <v>132</v>
      </c>
      <c r="B60" s="64">
        <v>330</v>
      </c>
      <c r="E60" s="91" t="s">
        <v>981</v>
      </c>
      <c r="F60" s="91" t="s">
        <v>982</v>
      </c>
      <c r="G60" s="91" t="s">
        <v>993</v>
      </c>
      <c r="H60" s="92" t="s">
        <v>998</v>
      </c>
      <c r="I60" s="90" t="s">
        <v>989</v>
      </c>
      <c r="J60" s="90"/>
      <c r="K60" s="70" t="s">
        <v>953</v>
      </c>
    </row>
    <row r="61" spans="1:11" ht="15.75">
      <c r="A61" s="63" t="s">
        <v>133</v>
      </c>
      <c r="B61" s="64">
        <v>400</v>
      </c>
      <c r="E61" s="91" t="s">
        <v>1018</v>
      </c>
      <c r="F61" s="91" t="s">
        <v>1019</v>
      </c>
      <c r="G61" s="91"/>
      <c r="H61" s="91"/>
      <c r="I61" s="90"/>
      <c r="J61" s="90"/>
      <c r="K61" s="70" t="s">
        <v>960</v>
      </c>
    </row>
    <row r="62" spans="1:11" ht="15.75">
      <c r="A62" s="63" t="s">
        <v>134</v>
      </c>
      <c r="B62" s="64">
        <v>3900</v>
      </c>
      <c r="E62" s="91" t="s">
        <v>695</v>
      </c>
      <c r="F62" s="91" t="s">
        <v>714</v>
      </c>
      <c r="G62" s="91" t="s">
        <v>696</v>
      </c>
      <c r="H62" s="91" t="s">
        <v>722</v>
      </c>
      <c r="I62" s="90" t="s">
        <v>734</v>
      </c>
      <c r="J62" s="90"/>
      <c r="K62" s="70" t="s">
        <v>700</v>
      </c>
    </row>
    <row r="63" spans="1:11" ht="15.75">
      <c r="A63" s="63" t="s">
        <v>135</v>
      </c>
      <c r="B63" s="64">
        <v>360</v>
      </c>
      <c r="E63" s="91" t="s">
        <v>1020</v>
      </c>
      <c r="F63" s="91" t="s">
        <v>1021</v>
      </c>
      <c r="G63" s="91" t="s">
        <v>1024</v>
      </c>
      <c r="H63" s="91" t="s">
        <v>1022</v>
      </c>
      <c r="I63" s="90" t="s">
        <v>1023</v>
      </c>
      <c r="J63" s="90"/>
      <c r="K63" s="70" t="s">
        <v>961</v>
      </c>
    </row>
    <row r="64" spans="1:11" ht="15.75">
      <c r="A64" s="63" t="s">
        <v>136</v>
      </c>
      <c r="B64" s="64">
        <v>200</v>
      </c>
      <c r="E64" s="91" t="s">
        <v>1001</v>
      </c>
      <c r="F64" s="91" t="s">
        <v>1002</v>
      </c>
      <c r="G64" s="91"/>
      <c r="H64" s="91" t="s">
        <v>1006</v>
      </c>
      <c r="I64" s="90" t="s">
        <v>1007</v>
      </c>
      <c r="J64" s="90"/>
      <c r="K64" s="70" t="s">
        <v>956</v>
      </c>
    </row>
    <row r="65" spans="1:11" ht="15.75">
      <c r="A65" s="63" t="s">
        <v>137</v>
      </c>
      <c r="B65" s="64">
        <v>1600</v>
      </c>
      <c r="E65" s="91" t="s">
        <v>1087</v>
      </c>
      <c r="F65" s="91" t="s">
        <v>1088</v>
      </c>
      <c r="G65" s="91" t="s">
        <v>1089</v>
      </c>
      <c r="H65" s="91" t="s">
        <v>1089</v>
      </c>
      <c r="I65" s="91" t="s">
        <v>1089</v>
      </c>
      <c r="J65" s="91" t="s">
        <v>1089</v>
      </c>
      <c r="K65" s="70" t="s">
        <v>962</v>
      </c>
    </row>
    <row r="66" spans="1:11" ht="15.75">
      <c r="A66" s="63" t="s">
        <v>138</v>
      </c>
      <c r="B66" s="64">
        <v>220</v>
      </c>
      <c r="E66" s="91" t="s">
        <v>1104</v>
      </c>
      <c r="F66" s="91" t="s">
        <v>1105</v>
      </c>
      <c r="G66" s="92" t="s">
        <v>1106</v>
      </c>
      <c r="H66" s="92" t="s">
        <v>1108</v>
      </c>
      <c r="I66" s="69" t="s">
        <v>1107</v>
      </c>
      <c r="J66" s="90"/>
      <c r="K66" s="70" t="s">
        <v>963</v>
      </c>
    </row>
    <row r="67" spans="1:11" ht="15.75">
      <c r="A67" s="63" t="s">
        <v>139</v>
      </c>
      <c r="B67" s="64">
        <v>100</v>
      </c>
      <c r="E67" s="91"/>
      <c r="F67" s="91"/>
      <c r="G67" s="91"/>
      <c r="H67" s="91"/>
      <c r="I67" s="90"/>
      <c r="J67" s="90"/>
      <c r="K67" s="70" t="s">
        <v>964</v>
      </c>
    </row>
    <row r="68" spans="1:11" ht="15.75">
      <c r="A68" s="63" t="s">
        <v>140</v>
      </c>
      <c r="B68" s="64">
        <v>150</v>
      </c>
      <c r="E68" s="91"/>
      <c r="F68" s="91"/>
      <c r="G68" s="91"/>
      <c r="H68" s="91"/>
      <c r="I68" s="90"/>
      <c r="J68" s="90"/>
      <c r="K68" s="70" t="s">
        <v>965</v>
      </c>
    </row>
    <row r="69" spans="1:11" ht="15.75">
      <c r="A69" s="63" t="s">
        <v>141</v>
      </c>
      <c r="B69" s="64">
        <v>720</v>
      </c>
      <c r="E69" s="91"/>
      <c r="F69" s="91"/>
      <c r="G69" s="91"/>
      <c r="H69" s="91"/>
      <c r="I69" s="90"/>
      <c r="J69" s="90"/>
      <c r="K69" s="70" t="s">
        <v>966</v>
      </c>
    </row>
    <row r="70" spans="1:11" ht="15.75">
      <c r="A70" s="63" t="s">
        <v>142</v>
      </c>
      <c r="B70" s="63">
        <v>2000</v>
      </c>
      <c r="E70" s="91"/>
      <c r="F70" s="91"/>
      <c r="G70" s="91"/>
      <c r="H70" s="91"/>
      <c r="I70" s="90"/>
      <c r="J70" s="90"/>
      <c r="K70" s="70" t="s">
        <v>967</v>
      </c>
    </row>
    <row r="71" spans="1:11" ht="15.75">
      <c r="A71" s="63" t="s">
        <v>143</v>
      </c>
      <c r="B71" s="63">
        <v>1000</v>
      </c>
      <c r="E71" s="91"/>
      <c r="F71" s="91"/>
      <c r="G71" s="91"/>
      <c r="H71" s="91"/>
      <c r="I71" s="90"/>
      <c r="J71" s="90"/>
      <c r="K71" s="70" t="s">
        <v>968</v>
      </c>
    </row>
    <row r="72" spans="1:11" ht="15.75">
      <c r="A72" s="63" t="s">
        <v>144</v>
      </c>
      <c r="B72" s="63">
        <v>1500</v>
      </c>
      <c r="E72" s="91"/>
      <c r="F72" s="91"/>
      <c r="G72" s="91"/>
      <c r="H72" s="91"/>
      <c r="I72" s="90"/>
      <c r="J72" s="90"/>
      <c r="K72" s="70" t="s">
        <v>969</v>
      </c>
    </row>
    <row r="73" spans="1:11" ht="15.75">
      <c r="A73" s="63" t="s">
        <v>145</v>
      </c>
      <c r="B73" s="63">
        <v>1800</v>
      </c>
      <c r="E73" s="91"/>
      <c r="F73" s="91"/>
      <c r="G73" s="91"/>
      <c r="H73" s="91"/>
      <c r="I73" s="90"/>
      <c r="J73" s="90"/>
      <c r="K73" s="70" t="s">
        <v>970</v>
      </c>
    </row>
    <row r="74" spans="1:11" ht="15.75">
      <c r="A74" s="63" t="s">
        <v>146</v>
      </c>
      <c r="B74" s="63">
        <v>1500</v>
      </c>
      <c r="E74" s="91"/>
      <c r="F74" s="91"/>
      <c r="G74" s="91"/>
      <c r="H74" s="91"/>
      <c r="I74" s="90"/>
      <c r="J74" s="90"/>
      <c r="K74" s="70" t="s">
        <v>971</v>
      </c>
    </row>
    <row r="75" spans="1:11" ht="15.75">
      <c r="A75" s="63" t="s">
        <v>147</v>
      </c>
      <c r="B75" s="63">
        <v>1000</v>
      </c>
      <c r="E75" s="91"/>
      <c r="F75" s="91"/>
      <c r="G75" s="91"/>
      <c r="H75" s="91"/>
      <c r="I75" s="90"/>
      <c r="J75" s="90"/>
      <c r="K75" s="70" t="s">
        <v>972</v>
      </c>
    </row>
    <row r="76" spans="1:11" ht="15.75">
      <c r="A76" s="63" t="s">
        <v>148</v>
      </c>
      <c r="B76" s="64">
        <v>1000</v>
      </c>
      <c r="E76" s="91"/>
      <c r="F76" s="91"/>
      <c r="G76" s="91"/>
      <c r="H76" s="91"/>
      <c r="I76" s="90"/>
      <c r="J76" s="90"/>
      <c r="K76" s="70" t="s">
        <v>973</v>
      </c>
    </row>
    <row r="77" spans="1:11" ht="15.75">
      <c r="A77" s="63" t="s">
        <v>149</v>
      </c>
      <c r="B77" s="64">
        <v>500</v>
      </c>
      <c r="E77" s="91"/>
      <c r="F77" s="91"/>
      <c r="G77" s="91"/>
      <c r="H77" s="91"/>
      <c r="I77" s="90"/>
      <c r="J77" s="90"/>
      <c r="K77" s="70" t="s">
        <v>974</v>
      </c>
    </row>
    <row r="78" spans="1:11" ht="15.75">
      <c r="A78" s="63" t="s">
        <v>150</v>
      </c>
      <c r="B78" s="64">
        <v>250</v>
      </c>
      <c r="E78" s="91"/>
      <c r="F78" s="91"/>
      <c r="G78" s="91"/>
      <c r="H78" s="91"/>
      <c r="I78" s="90"/>
      <c r="J78" s="90"/>
      <c r="K78" s="70" t="s">
        <v>975</v>
      </c>
    </row>
    <row r="79" spans="1:11" ht="15.75">
      <c r="A79" s="63" t="s">
        <v>151</v>
      </c>
      <c r="B79" s="64">
        <v>200</v>
      </c>
      <c r="E79" s="91"/>
      <c r="F79" s="91"/>
      <c r="G79" s="91"/>
      <c r="H79" s="91"/>
      <c r="I79" s="90"/>
      <c r="J79" s="90"/>
      <c r="K79" s="70" t="s">
        <v>976</v>
      </c>
    </row>
    <row r="80" spans="1:11" ht="15.75">
      <c r="A80" s="63" t="s">
        <v>152</v>
      </c>
      <c r="B80" s="64">
        <v>350</v>
      </c>
      <c r="E80" s="91"/>
      <c r="F80" s="91"/>
      <c r="G80" s="91"/>
      <c r="H80" s="91"/>
      <c r="I80" s="90"/>
      <c r="J80" s="90"/>
      <c r="K80" s="91"/>
    </row>
    <row r="81" spans="1:11" ht="15.75">
      <c r="A81" s="63" t="s">
        <v>153</v>
      </c>
      <c r="B81" s="64">
        <v>400</v>
      </c>
      <c r="E81" s="91"/>
      <c r="F81" s="91"/>
      <c r="G81" s="91"/>
      <c r="H81" s="91"/>
      <c r="I81" s="90"/>
      <c r="J81" s="90"/>
      <c r="K81" s="91"/>
    </row>
    <row r="82" spans="1:11" ht="15.75">
      <c r="A82" s="63" t="s">
        <v>154</v>
      </c>
      <c r="B82" s="64">
        <v>450</v>
      </c>
      <c r="E82" s="91"/>
      <c r="F82" s="91"/>
      <c r="G82" s="91"/>
      <c r="H82" s="91"/>
      <c r="I82" s="90"/>
      <c r="J82" s="90"/>
      <c r="K82" s="91"/>
    </row>
    <row r="83" spans="1:11" ht="15.75">
      <c r="A83" s="63" t="s">
        <v>155</v>
      </c>
      <c r="B83" s="64">
        <v>450</v>
      </c>
      <c r="E83" s="91"/>
      <c r="F83" s="91"/>
      <c r="G83" s="91"/>
      <c r="H83" s="91"/>
      <c r="I83" s="90"/>
      <c r="J83" s="90"/>
      <c r="K83" s="91"/>
    </row>
    <row r="84" spans="1:11" ht="15.75">
      <c r="A84" s="63" t="s">
        <v>156</v>
      </c>
      <c r="B84" s="64">
        <v>500</v>
      </c>
      <c r="E84" s="91"/>
      <c r="F84" s="91"/>
      <c r="G84" s="91"/>
      <c r="H84" s="91"/>
      <c r="I84" s="90"/>
      <c r="J84" s="90"/>
      <c r="K84" s="91"/>
    </row>
    <row r="85" spans="1:11" ht="15.75">
      <c r="A85" s="63" t="s">
        <v>157</v>
      </c>
      <c r="B85" s="64">
        <v>500</v>
      </c>
      <c r="E85" s="91"/>
      <c r="F85" s="91"/>
      <c r="G85" s="91"/>
      <c r="H85" s="91"/>
      <c r="I85" s="90"/>
      <c r="J85" s="90"/>
      <c r="K85" s="91"/>
    </row>
    <row r="86" spans="1:11" ht="15.75">
      <c r="A86" s="63" t="s">
        <v>158</v>
      </c>
      <c r="B86" s="64">
        <v>350</v>
      </c>
      <c r="E86" s="91"/>
      <c r="F86" s="91"/>
      <c r="G86" s="91"/>
      <c r="H86" s="91"/>
      <c r="I86" s="90"/>
      <c r="J86" s="90"/>
      <c r="K86" s="91"/>
    </row>
    <row r="87" spans="1:11" ht="15.75">
      <c r="A87" s="63" t="s">
        <v>159</v>
      </c>
      <c r="B87" s="64">
        <v>600</v>
      </c>
      <c r="E87" s="91"/>
      <c r="F87" s="91"/>
      <c r="G87" s="91"/>
      <c r="H87" s="91"/>
      <c r="I87" s="90"/>
      <c r="J87" s="90"/>
      <c r="K87" s="91"/>
    </row>
    <row r="88" spans="1:11" ht="15.75">
      <c r="A88" s="63" t="s">
        <v>160</v>
      </c>
      <c r="B88" s="64">
        <v>500</v>
      </c>
      <c r="E88" s="91"/>
      <c r="F88" s="91"/>
      <c r="G88" s="91"/>
      <c r="H88" s="91"/>
      <c r="I88" s="90"/>
      <c r="J88" s="90"/>
      <c r="K88" s="91"/>
    </row>
    <row r="89" spans="1:11" ht="15.75">
      <c r="A89" s="63" t="s">
        <v>161</v>
      </c>
      <c r="B89" s="64">
        <v>250</v>
      </c>
      <c r="E89" s="91"/>
      <c r="F89" s="91"/>
      <c r="G89" s="91"/>
      <c r="H89" s="91"/>
      <c r="I89" s="90"/>
      <c r="J89" s="90"/>
      <c r="K89" s="91"/>
    </row>
    <row r="90" spans="1:11" ht="15.75">
      <c r="A90" s="63" t="s">
        <v>162</v>
      </c>
      <c r="B90" s="64">
        <v>280</v>
      </c>
      <c r="E90" s="91"/>
      <c r="F90" s="91"/>
      <c r="G90" s="91"/>
      <c r="H90" s="91"/>
      <c r="I90" s="90"/>
      <c r="J90" s="90"/>
      <c r="K90" s="91"/>
    </row>
    <row r="91" spans="1:11" ht="15.75">
      <c r="A91" s="63" t="s">
        <v>163</v>
      </c>
      <c r="B91" s="63">
        <v>1000</v>
      </c>
      <c r="E91" s="91"/>
      <c r="F91" s="91"/>
      <c r="G91" s="91"/>
      <c r="H91" s="91"/>
      <c r="I91" s="90"/>
      <c r="J91" s="90"/>
      <c r="K91" s="91"/>
    </row>
    <row r="92" spans="1:11" ht="15.75">
      <c r="A92" s="63" t="s">
        <v>164</v>
      </c>
      <c r="B92" s="63">
        <v>1000</v>
      </c>
      <c r="E92" s="91"/>
      <c r="F92" s="91"/>
      <c r="G92" s="91"/>
      <c r="H92" s="91"/>
      <c r="I92" s="90"/>
      <c r="J92" s="90"/>
      <c r="K92" s="91"/>
    </row>
    <row r="93" spans="1:11" ht="15.75">
      <c r="A93" s="63" t="s">
        <v>165</v>
      </c>
      <c r="B93" s="64">
        <v>950</v>
      </c>
      <c r="E93" s="91"/>
      <c r="F93" s="91"/>
      <c r="G93" s="91"/>
      <c r="H93" s="91"/>
      <c r="I93" s="90"/>
      <c r="J93" s="90"/>
      <c r="K93" s="91"/>
    </row>
    <row r="94" spans="1:11" ht="15.75">
      <c r="A94" s="63" t="s">
        <v>166</v>
      </c>
      <c r="B94" s="64">
        <v>1000</v>
      </c>
      <c r="E94" s="91"/>
      <c r="F94" s="91"/>
      <c r="G94" s="91"/>
      <c r="H94" s="91"/>
      <c r="I94" s="90"/>
      <c r="J94" s="90"/>
      <c r="K94" s="91"/>
    </row>
    <row r="95" spans="1:11" ht="15.75">
      <c r="A95" s="63" t="s">
        <v>167</v>
      </c>
      <c r="B95" s="64">
        <v>1200</v>
      </c>
      <c r="E95" s="91"/>
      <c r="F95" s="91"/>
      <c r="G95" s="91"/>
      <c r="H95" s="91"/>
      <c r="I95" s="90"/>
      <c r="J95" s="90"/>
      <c r="K95" s="91"/>
    </row>
    <row r="96" spans="1:11" ht="15.75">
      <c r="A96" s="63" t="s">
        <v>168</v>
      </c>
      <c r="B96" s="64">
        <v>200</v>
      </c>
      <c r="E96" s="91"/>
      <c r="F96" s="91"/>
      <c r="G96" s="91"/>
      <c r="H96" s="91"/>
      <c r="I96" s="90"/>
      <c r="J96" s="90"/>
      <c r="K96" s="91"/>
    </row>
    <row r="97" spans="1:11" ht="15.75">
      <c r="A97" s="63" t="s">
        <v>169</v>
      </c>
      <c r="B97" s="63">
        <v>0</v>
      </c>
      <c r="E97" s="91"/>
      <c r="F97" s="91"/>
      <c r="G97" s="91"/>
      <c r="H97" s="91"/>
      <c r="I97" s="90"/>
      <c r="J97" s="90"/>
      <c r="K97" s="91"/>
    </row>
    <row r="98" spans="1:11" ht="15.75">
      <c r="A98" s="63" t="s">
        <v>170</v>
      </c>
      <c r="B98" s="63">
        <v>500</v>
      </c>
      <c r="E98" s="91"/>
      <c r="F98" s="91"/>
      <c r="G98" s="91"/>
      <c r="H98" s="91"/>
      <c r="I98" s="90"/>
      <c r="J98" s="90"/>
      <c r="K98" s="91"/>
    </row>
    <row r="99" spans="1:11" ht="15.75">
      <c r="A99" s="63" t="s">
        <v>171</v>
      </c>
      <c r="B99" s="63">
        <v>650</v>
      </c>
      <c r="E99" s="91"/>
      <c r="F99" s="91"/>
      <c r="G99" s="91"/>
      <c r="H99" s="91"/>
      <c r="I99" s="90"/>
      <c r="J99" s="90"/>
      <c r="K99" s="91"/>
    </row>
    <row r="100" spans="1:11" ht="15.75">
      <c r="A100" s="63" t="s">
        <v>172</v>
      </c>
      <c r="B100" s="63"/>
      <c r="E100" s="91"/>
      <c r="F100" s="91"/>
      <c r="G100" s="91"/>
      <c r="H100" s="91"/>
      <c r="I100" s="90"/>
      <c r="J100" s="90"/>
      <c r="K100" s="91"/>
    </row>
    <row r="101" spans="1:11" ht="15.75">
      <c r="A101" s="63" t="s">
        <v>173</v>
      </c>
      <c r="B101" s="63">
        <v>60</v>
      </c>
      <c r="E101" s="91"/>
      <c r="F101" s="91"/>
      <c r="G101" s="91"/>
      <c r="H101" s="91"/>
      <c r="I101" s="90"/>
      <c r="J101" s="90"/>
      <c r="K101" s="91"/>
    </row>
    <row r="102" spans="1:11" ht="15.75">
      <c r="A102" s="63" t="s">
        <v>174</v>
      </c>
      <c r="B102" s="64">
        <v>1500</v>
      </c>
      <c r="E102" s="91"/>
      <c r="F102" s="91"/>
      <c r="G102" s="91"/>
      <c r="H102" s="91"/>
      <c r="I102" s="90"/>
      <c r="J102" s="90"/>
      <c r="K102" s="91"/>
    </row>
    <row r="103" spans="1:11" ht="15.75">
      <c r="A103" s="63" t="s">
        <v>175</v>
      </c>
      <c r="B103" s="64">
        <v>50</v>
      </c>
      <c r="E103" s="91"/>
      <c r="F103" s="91"/>
      <c r="G103" s="91"/>
      <c r="H103" s="91"/>
      <c r="I103" s="90"/>
      <c r="J103" s="90"/>
      <c r="K103" s="91"/>
    </row>
    <row r="104" spans="1:11" ht="15.75">
      <c r="A104" s="63" t="s">
        <v>176</v>
      </c>
      <c r="B104" s="64">
        <v>50</v>
      </c>
      <c r="E104" s="91"/>
      <c r="F104" s="91"/>
      <c r="G104" s="91"/>
      <c r="H104" s="91"/>
      <c r="I104" s="90"/>
      <c r="J104" s="90"/>
      <c r="K104" s="91"/>
    </row>
    <row r="105" spans="1:11" ht="15.75">
      <c r="A105" s="63" t="s">
        <v>177</v>
      </c>
      <c r="B105" s="63">
        <v>1000</v>
      </c>
      <c r="E105" s="91"/>
      <c r="F105" s="91"/>
      <c r="G105" s="91"/>
      <c r="H105" s="91"/>
      <c r="I105" s="90"/>
      <c r="J105" s="90"/>
      <c r="K105" s="91"/>
    </row>
    <row r="106" spans="1:11" ht="15.75">
      <c r="A106" s="63" t="s">
        <v>178</v>
      </c>
      <c r="B106" s="64">
        <v>80</v>
      </c>
      <c r="E106" s="91"/>
      <c r="F106" s="91"/>
      <c r="G106" s="91"/>
      <c r="H106" s="91"/>
      <c r="I106" s="90"/>
      <c r="J106" s="90"/>
      <c r="K106" s="91"/>
    </row>
    <row r="107" spans="1:11" ht="15.75">
      <c r="A107" s="63" t="s">
        <v>179</v>
      </c>
      <c r="B107" s="64">
        <v>40</v>
      </c>
      <c r="E107" s="91"/>
      <c r="F107" s="91"/>
      <c r="G107" s="91"/>
      <c r="H107" s="91"/>
      <c r="I107" s="90"/>
      <c r="J107" s="90"/>
      <c r="K107" s="91"/>
    </row>
    <row r="108" spans="1:11" ht="15.75">
      <c r="A108" s="63" t="s">
        <v>180</v>
      </c>
      <c r="B108" s="63"/>
      <c r="E108" s="91"/>
      <c r="F108" s="91"/>
      <c r="G108" s="91"/>
      <c r="H108" s="91"/>
      <c r="I108" s="90"/>
      <c r="J108" s="90"/>
      <c r="K108" s="91"/>
    </row>
    <row r="109" spans="1:11" ht="15.75">
      <c r="A109" s="63" t="s">
        <v>181</v>
      </c>
      <c r="B109" s="64">
        <v>0</v>
      </c>
      <c r="E109" s="91"/>
      <c r="F109" s="91"/>
      <c r="G109" s="91"/>
      <c r="H109" s="91"/>
      <c r="I109" s="90"/>
      <c r="J109" s="90"/>
      <c r="K109" s="91"/>
    </row>
    <row r="110" spans="1:11" ht="15.75">
      <c r="A110" s="63" t="s">
        <v>182</v>
      </c>
      <c r="B110" s="63"/>
      <c r="E110" s="91"/>
      <c r="F110" s="91"/>
      <c r="G110" s="91"/>
      <c r="H110" s="91"/>
      <c r="I110" s="90"/>
      <c r="J110" s="90"/>
      <c r="K110" s="91"/>
    </row>
    <row r="111" spans="1:11" ht="15.75">
      <c r="A111" s="63" t="s">
        <v>183</v>
      </c>
      <c r="B111" s="63">
        <v>1750</v>
      </c>
      <c r="E111" s="91"/>
      <c r="F111" s="91"/>
      <c r="G111" s="91"/>
      <c r="H111" s="91"/>
      <c r="I111" s="90"/>
      <c r="J111" s="90"/>
      <c r="K111" s="91"/>
    </row>
    <row r="112" spans="1:11" ht="15.75">
      <c r="A112" s="63" t="s">
        <v>184</v>
      </c>
      <c r="B112" s="63">
        <v>750</v>
      </c>
      <c r="E112" s="91"/>
      <c r="F112" s="91"/>
      <c r="G112" s="91"/>
      <c r="H112" s="91"/>
      <c r="I112" s="90"/>
      <c r="J112" s="90"/>
      <c r="K112" s="91"/>
    </row>
    <row r="113" spans="1:11" ht="15.75">
      <c r="A113" s="63" t="s">
        <v>185</v>
      </c>
      <c r="B113" s="63">
        <v>1200</v>
      </c>
      <c r="E113" s="91"/>
      <c r="F113" s="91"/>
      <c r="G113" s="91"/>
      <c r="H113" s="91"/>
      <c r="I113" s="90"/>
      <c r="J113" s="90"/>
      <c r="K113" s="91"/>
    </row>
    <row r="114" spans="1:11" ht="15.75">
      <c r="A114" s="63" t="s">
        <v>186</v>
      </c>
      <c r="B114" s="63">
        <v>500</v>
      </c>
      <c r="E114" s="91"/>
      <c r="F114" s="91"/>
      <c r="G114" s="91"/>
      <c r="H114" s="91"/>
      <c r="I114" s="90"/>
      <c r="J114" s="90"/>
      <c r="K114" s="91"/>
    </row>
    <row r="115" spans="1:11" ht="15.75">
      <c r="A115" s="63" t="s">
        <v>187</v>
      </c>
      <c r="B115" s="63">
        <v>1000</v>
      </c>
      <c r="E115" s="91"/>
      <c r="F115" s="91"/>
      <c r="G115" s="91"/>
      <c r="H115" s="91"/>
      <c r="I115" s="90"/>
      <c r="J115" s="90"/>
      <c r="K115" s="91"/>
    </row>
    <row r="116" spans="1:11" ht="15.75">
      <c r="A116" s="63" t="s">
        <v>188</v>
      </c>
      <c r="B116" s="64">
        <v>500</v>
      </c>
      <c r="E116" s="91"/>
      <c r="F116" s="91"/>
      <c r="G116" s="91"/>
      <c r="H116" s="91"/>
      <c r="I116" s="90"/>
      <c r="J116" s="90"/>
      <c r="K116" s="91"/>
    </row>
    <row r="117" spans="1:11" ht="15.75">
      <c r="A117" s="63" t="s">
        <v>189</v>
      </c>
      <c r="B117" s="63">
        <v>1000</v>
      </c>
      <c r="E117" s="91"/>
      <c r="F117" s="91"/>
      <c r="G117" s="91"/>
      <c r="H117" s="91"/>
      <c r="I117" s="90"/>
      <c r="J117" s="90"/>
      <c r="K117" s="91"/>
    </row>
    <row r="118" spans="1:11" ht="15.75">
      <c r="A118" s="63" t="s">
        <v>190</v>
      </c>
      <c r="B118" s="63">
        <v>500</v>
      </c>
      <c r="E118" s="91"/>
      <c r="F118" s="91"/>
      <c r="G118" s="91"/>
      <c r="H118" s="91"/>
      <c r="I118" s="90"/>
      <c r="J118" s="90"/>
      <c r="K118" s="91"/>
    </row>
    <row r="119" spans="1:11" ht="15.75">
      <c r="A119" s="63" t="s">
        <v>191</v>
      </c>
      <c r="B119" s="64">
        <v>600</v>
      </c>
      <c r="E119" s="91"/>
      <c r="F119" s="91"/>
      <c r="G119" s="91"/>
      <c r="H119" s="91"/>
      <c r="I119" s="90"/>
      <c r="J119" s="90"/>
      <c r="K119" s="91"/>
    </row>
    <row r="120" spans="1:11" ht="15.75">
      <c r="A120" s="63" t="s">
        <v>192</v>
      </c>
      <c r="B120" s="64">
        <v>800</v>
      </c>
      <c r="E120" s="91"/>
      <c r="F120" s="91"/>
      <c r="G120" s="91"/>
      <c r="H120" s="91"/>
      <c r="I120" s="90"/>
      <c r="J120" s="90"/>
      <c r="K120" s="91"/>
    </row>
    <row r="121" spans="1:11" ht="15.75">
      <c r="A121" s="63" t="s">
        <v>193</v>
      </c>
      <c r="B121" s="64">
        <v>150</v>
      </c>
      <c r="E121" s="91"/>
      <c r="F121" s="91"/>
      <c r="G121" s="91"/>
      <c r="H121" s="91"/>
      <c r="I121" s="90"/>
      <c r="J121" s="90"/>
      <c r="K121" s="91"/>
    </row>
    <row r="122" spans="1:11" ht="15.75">
      <c r="A122" s="63" t="s">
        <v>194</v>
      </c>
      <c r="B122" s="64">
        <v>150</v>
      </c>
      <c r="E122" s="91"/>
      <c r="F122" s="91"/>
      <c r="G122" s="91"/>
      <c r="H122" s="91"/>
      <c r="I122" s="90"/>
      <c r="J122" s="90"/>
      <c r="K122" s="91"/>
    </row>
    <row r="123" spans="1:11" ht="15.75">
      <c r="A123" s="63" t="s">
        <v>195</v>
      </c>
      <c r="B123" s="64">
        <v>150</v>
      </c>
      <c r="E123" s="91"/>
      <c r="F123" s="91"/>
      <c r="G123" s="91"/>
      <c r="H123" s="91"/>
      <c r="I123" s="90"/>
      <c r="J123" s="90"/>
      <c r="K123" s="91"/>
    </row>
    <row r="124" spans="1:11" ht="15.75">
      <c r="A124" s="63" t="s">
        <v>196</v>
      </c>
      <c r="B124" s="64">
        <v>200</v>
      </c>
      <c r="E124" s="91"/>
      <c r="F124" s="91"/>
      <c r="G124" s="91"/>
      <c r="H124" s="91"/>
      <c r="I124" s="90"/>
      <c r="J124" s="90"/>
      <c r="K124" s="91"/>
    </row>
    <row r="125" spans="1:11" ht="15.75">
      <c r="A125" s="63" t="s">
        <v>197</v>
      </c>
      <c r="B125" s="64">
        <v>400</v>
      </c>
      <c r="E125" s="91"/>
      <c r="F125" s="91"/>
      <c r="G125" s="91"/>
      <c r="H125" s="91"/>
      <c r="I125" s="90"/>
      <c r="J125" s="90"/>
      <c r="K125" s="91"/>
    </row>
    <row r="126" spans="1:11" ht="15.75">
      <c r="A126" s="63" t="s">
        <v>198</v>
      </c>
      <c r="B126" s="64">
        <v>150</v>
      </c>
      <c r="E126" s="91"/>
      <c r="F126" s="91"/>
      <c r="G126" s="91"/>
      <c r="H126" s="91"/>
      <c r="I126" s="90"/>
      <c r="J126" s="90"/>
      <c r="K126" s="91"/>
    </row>
    <row r="127" spans="1:11" ht="15.75">
      <c r="A127" s="63" t="s">
        <v>199</v>
      </c>
      <c r="B127" s="64">
        <v>150</v>
      </c>
      <c r="E127" s="91"/>
      <c r="F127" s="91"/>
      <c r="G127" s="91"/>
      <c r="H127" s="91"/>
      <c r="I127" s="90"/>
      <c r="J127" s="90"/>
      <c r="K127" s="91"/>
    </row>
    <row r="128" spans="1:11" ht="15.75">
      <c r="A128" s="63" t="s">
        <v>200</v>
      </c>
      <c r="B128" s="64">
        <v>250</v>
      </c>
      <c r="E128" s="91"/>
      <c r="F128" s="91"/>
      <c r="G128" s="91"/>
      <c r="H128" s="91"/>
      <c r="I128" s="90"/>
      <c r="J128" s="90"/>
      <c r="K128" s="91"/>
    </row>
    <row r="129" spans="1:11" ht="15.75">
      <c r="A129" s="63" t="s">
        <v>201</v>
      </c>
      <c r="B129" s="64">
        <v>150</v>
      </c>
      <c r="E129" s="91"/>
      <c r="F129" s="91"/>
      <c r="G129" s="91"/>
      <c r="H129" s="91"/>
      <c r="I129" s="90"/>
      <c r="J129" s="90"/>
      <c r="K129" s="91"/>
    </row>
    <row r="130" spans="1:11" ht="15.75">
      <c r="A130" s="63" t="s">
        <v>202</v>
      </c>
      <c r="B130" s="64">
        <v>150</v>
      </c>
      <c r="E130" s="91"/>
      <c r="F130" s="91"/>
      <c r="G130" s="91"/>
      <c r="H130" s="91"/>
      <c r="I130" s="90"/>
      <c r="J130" s="90"/>
      <c r="K130" s="91"/>
    </row>
    <row r="131" spans="1:11" ht="15.75">
      <c r="A131" s="63" t="s">
        <v>203</v>
      </c>
      <c r="B131" s="64">
        <v>9500</v>
      </c>
      <c r="E131" s="91"/>
      <c r="F131" s="91"/>
      <c r="G131" s="91"/>
      <c r="H131" s="91"/>
      <c r="I131" s="90"/>
      <c r="J131" s="90"/>
      <c r="K131" s="91"/>
    </row>
    <row r="132" spans="1:11" ht="15.75">
      <c r="A132" s="63" t="s">
        <v>204</v>
      </c>
      <c r="B132" s="64">
        <v>400</v>
      </c>
      <c r="E132" s="91"/>
      <c r="F132" s="91"/>
      <c r="G132" s="91"/>
      <c r="H132" s="91"/>
      <c r="I132" s="90"/>
      <c r="J132" s="90"/>
      <c r="K132" s="91"/>
    </row>
    <row r="133" spans="1:11" ht="15.75">
      <c r="A133" s="63" t="s">
        <v>205</v>
      </c>
      <c r="B133" s="64">
        <v>300</v>
      </c>
      <c r="E133" s="91"/>
      <c r="F133" s="91"/>
      <c r="G133" s="91"/>
      <c r="H133" s="91"/>
      <c r="I133" s="90"/>
      <c r="J133" s="90"/>
      <c r="K133" s="91"/>
    </row>
    <row r="134" spans="1:11" ht="15.75">
      <c r="A134" s="63" t="s">
        <v>206</v>
      </c>
      <c r="B134" s="64">
        <v>150</v>
      </c>
      <c r="E134" s="91"/>
      <c r="F134" s="91"/>
      <c r="G134" s="91"/>
      <c r="H134" s="91"/>
      <c r="I134" s="90"/>
      <c r="J134" s="90"/>
      <c r="K134" s="91"/>
    </row>
    <row r="135" spans="1:11" ht="15.75">
      <c r="A135" s="63" t="s">
        <v>207</v>
      </c>
      <c r="B135" s="64">
        <v>750</v>
      </c>
      <c r="E135" s="91"/>
      <c r="F135" s="91"/>
      <c r="G135" s="91"/>
      <c r="H135" s="91"/>
      <c r="I135" s="90"/>
      <c r="J135" s="90"/>
      <c r="K135" s="91"/>
    </row>
    <row r="136" spans="1:11" ht="15.75">
      <c r="A136" s="63" t="s">
        <v>208</v>
      </c>
      <c r="B136" s="64">
        <v>150</v>
      </c>
      <c r="E136" s="91"/>
      <c r="F136" s="91"/>
      <c r="G136" s="91"/>
      <c r="H136" s="91"/>
      <c r="I136" s="90"/>
      <c r="J136" s="90"/>
      <c r="K136" s="91"/>
    </row>
    <row r="137" spans="1:11" ht="15.75">
      <c r="A137" s="63" t="s">
        <v>209</v>
      </c>
      <c r="B137" s="64">
        <v>300</v>
      </c>
      <c r="E137" s="91"/>
      <c r="F137" s="91"/>
      <c r="G137" s="91"/>
      <c r="H137" s="91"/>
      <c r="I137" s="90"/>
      <c r="J137" s="90"/>
      <c r="K137" s="91"/>
    </row>
    <row r="138" spans="1:11" ht="15.75">
      <c r="A138" s="63" t="s">
        <v>210</v>
      </c>
      <c r="B138" s="64">
        <v>200</v>
      </c>
      <c r="E138" s="91"/>
      <c r="F138" s="91"/>
      <c r="G138" s="91"/>
      <c r="H138" s="91"/>
      <c r="I138" s="90"/>
      <c r="J138" s="90"/>
      <c r="K138" s="91"/>
    </row>
    <row r="139" spans="1:11" ht="15.75">
      <c r="A139" s="63" t="s">
        <v>211</v>
      </c>
      <c r="B139" s="64">
        <v>200</v>
      </c>
      <c r="E139" s="91"/>
      <c r="F139" s="91"/>
      <c r="G139" s="91"/>
      <c r="H139" s="91"/>
      <c r="I139" s="90"/>
      <c r="J139" s="90"/>
      <c r="K139" s="91"/>
    </row>
    <row r="140" spans="1:11" ht="15.75">
      <c r="A140" s="63" t="s">
        <v>212</v>
      </c>
      <c r="B140" s="64">
        <v>200</v>
      </c>
      <c r="E140" s="91"/>
      <c r="F140" s="91"/>
      <c r="G140" s="91"/>
      <c r="H140" s="91"/>
      <c r="I140" s="90"/>
      <c r="J140" s="90"/>
      <c r="K140" s="91"/>
    </row>
    <row r="141" spans="1:11" ht="15.75">
      <c r="A141" s="63" t="s">
        <v>213</v>
      </c>
      <c r="B141" s="64">
        <v>200</v>
      </c>
      <c r="E141" s="91"/>
      <c r="F141" s="91"/>
      <c r="G141" s="91"/>
      <c r="H141" s="91"/>
      <c r="I141" s="90"/>
      <c r="J141" s="90"/>
      <c r="K141" s="91"/>
    </row>
    <row r="142" spans="1:11" ht="15.75">
      <c r="A142" s="63" t="s">
        <v>214</v>
      </c>
      <c r="B142" s="64">
        <v>350</v>
      </c>
      <c r="E142" s="91"/>
      <c r="F142" s="91"/>
      <c r="G142" s="91"/>
      <c r="H142" s="91"/>
      <c r="I142" s="90"/>
      <c r="J142" s="90"/>
      <c r="K142" s="91"/>
    </row>
    <row r="143" spans="1:11" ht="15.75">
      <c r="A143" s="63" t="s">
        <v>215</v>
      </c>
      <c r="B143" s="64">
        <v>350</v>
      </c>
      <c r="E143" s="91"/>
      <c r="F143" s="91"/>
      <c r="G143" s="91"/>
      <c r="H143" s="91"/>
      <c r="I143" s="90"/>
      <c r="J143" s="90"/>
      <c r="K143" s="91"/>
    </row>
    <row r="144" spans="1:11" ht="15.75">
      <c r="A144" s="63" t="s">
        <v>216</v>
      </c>
      <c r="B144" s="64">
        <v>500</v>
      </c>
      <c r="E144" s="91"/>
      <c r="F144" s="91"/>
      <c r="G144" s="91"/>
      <c r="H144" s="91"/>
      <c r="I144" s="90"/>
      <c r="J144" s="90"/>
      <c r="K144" s="91"/>
    </row>
    <row r="145" spans="1:11" ht="15.75">
      <c r="A145" s="63" t="s">
        <v>217</v>
      </c>
      <c r="B145" s="64">
        <v>650</v>
      </c>
      <c r="E145" s="91"/>
      <c r="F145" s="91"/>
      <c r="G145" s="91"/>
      <c r="H145" s="91"/>
      <c r="I145" s="90"/>
      <c r="J145" s="90"/>
      <c r="K145" s="91"/>
    </row>
    <row r="146" spans="1:11" ht="15.75">
      <c r="A146" s="63" t="s">
        <v>218</v>
      </c>
      <c r="B146" s="64">
        <v>900</v>
      </c>
      <c r="E146" s="91"/>
      <c r="F146" s="91"/>
      <c r="G146" s="91"/>
      <c r="H146" s="91"/>
      <c r="I146" s="90"/>
      <c r="J146" s="90"/>
      <c r="K146" s="91"/>
    </row>
    <row r="147" spans="1:11" ht="15.75">
      <c r="A147" s="63" t="s">
        <v>219</v>
      </c>
      <c r="B147" s="64">
        <v>1000</v>
      </c>
      <c r="E147" s="91"/>
      <c r="F147" s="91"/>
      <c r="G147" s="91"/>
      <c r="H147" s="91"/>
      <c r="I147" s="90"/>
      <c r="J147" s="90"/>
      <c r="K147" s="91"/>
    </row>
    <row r="148" spans="1:11" ht="15.75">
      <c r="A148" s="63" t="s">
        <v>220</v>
      </c>
      <c r="B148" s="63">
        <v>2500</v>
      </c>
      <c r="E148" s="91"/>
      <c r="F148" s="91"/>
      <c r="G148" s="91"/>
      <c r="H148" s="91"/>
      <c r="I148" s="90"/>
      <c r="J148" s="90"/>
      <c r="K148" s="91"/>
    </row>
    <row r="149" spans="1:11" ht="15.75">
      <c r="A149" s="63" t="s">
        <v>221</v>
      </c>
      <c r="B149" s="64">
        <v>1250</v>
      </c>
      <c r="E149" s="91"/>
      <c r="F149" s="91"/>
      <c r="G149" s="91"/>
      <c r="H149" s="91"/>
      <c r="I149" s="90"/>
      <c r="J149" s="90"/>
      <c r="K149" s="91"/>
    </row>
    <row r="150" spans="1:11" ht="15.75">
      <c r="A150" s="63" t="s">
        <v>222</v>
      </c>
      <c r="B150" s="64">
        <v>200</v>
      </c>
      <c r="E150" s="91"/>
      <c r="F150" s="91"/>
      <c r="G150" s="91"/>
      <c r="H150" s="91"/>
      <c r="I150" s="90"/>
      <c r="J150" s="90"/>
      <c r="K150" s="91"/>
    </row>
    <row r="151" spans="1:11" ht="15.75">
      <c r="A151" s="63" t="s">
        <v>223</v>
      </c>
      <c r="B151" s="64">
        <v>3500</v>
      </c>
      <c r="E151" s="91"/>
      <c r="F151" s="91"/>
      <c r="G151" s="91"/>
      <c r="H151" s="91"/>
      <c r="I151" s="90"/>
      <c r="J151" s="90"/>
      <c r="K151" s="91"/>
    </row>
    <row r="152" spans="1:11" ht="15.75">
      <c r="A152" s="63" t="s">
        <v>224</v>
      </c>
      <c r="B152" s="63">
        <v>2000</v>
      </c>
      <c r="E152" s="91"/>
      <c r="F152" s="91"/>
      <c r="G152" s="91"/>
      <c r="H152" s="91"/>
      <c r="I152" s="90"/>
      <c r="J152" s="90"/>
      <c r="K152" s="91"/>
    </row>
    <row r="153" spans="1:11" ht="15.75">
      <c r="A153" s="63" t="s">
        <v>225</v>
      </c>
      <c r="B153" s="64">
        <v>100</v>
      </c>
      <c r="E153" s="91"/>
      <c r="F153" s="91"/>
      <c r="G153" s="91"/>
      <c r="H153" s="91"/>
      <c r="I153" s="90"/>
      <c r="J153" s="90"/>
      <c r="K153" s="91"/>
    </row>
    <row r="154" spans="1:11" ht="15.75">
      <c r="A154" s="63" t="s">
        <v>226</v>
      </c>
      <c r="B154" s="64">
        <v>60</v>
      </c>
      <c r="E154" s="91"/>
      <c r="F154" s="91"/>
      <c r="G154" s="91"/>
      <c r="H154" s="91"/>
      <c r="I154" s="90"/>
      <c r="J154" s="90"/>
      <c r="K154" s="91"/>
    </row>
    <row r="155" spans="1:11" ht="15.75">
      <c r="A155" s="63" t="s">
        <v>227</v>
      </c>
      <c r="B155" s="64">
        <v>6100</v>
      </c>
      <c r="E155" s="91"/>
      <c r="F155" s="91"/>
      <c r="G155" s="91"/>
      <c r="H155" s="91"/>
      <c r="I155" s="90"/>
      <c r="J155" s="90"/>
      <c r="K155" s="91"/>
    </row>
    <row r="156" spans="1:11" ht="15.75">
      <c r="A156" s="63" t="s">
        <v>228</v>
      </c>
      <c r="B156" s="64">
        <v>6100</v>
      </c>
      <c r="E156" s="91"/>
      <c r="F156" s="91"/>
      <c r="G156" s="91"/>
      <c r="H156" s="91"/>
      <c r="I156" s="90"/>
      <c r="J156" s="90"/>
      <c r="K156" s="91"/>
    </row>
    <row r="157" spans="1:11" ht="15.75">
      <c r="A157" s="63" t="s">
        <v>229</v>
      </c>
      <c r="B157" s="64">
        <v>2100</v>
      </c>
      <c r="E157" s="91"/>
      <c r="F157" s="91"/>
      <c r="G157" s="91"/>
      <c r="H157" s="91"/>
      <c r="I157" s="90"/>
      <c r="J157" s="90"/>
      <c r="K157" s="91"/>
    </row>
    <row r="158" spans="1:11" ht="15.75">
      <c r="A158" s="63" t="s">
        <v>230</v>
      </c>
      <c r="B158" s="64">
        <v>6100</v>
      </c>
      <c r="E158" s="91"/>
      <c r="F158" s="91"/>
      <c r="G158" s="91"/>
      <c r="H158" s="91"/>
      <c r="I158" s="90"/>
      <c r="J158" s="90"/>
      <c r="K158" s="91"/>
    </row>
    <row r="159" spans="1:11" ht="15.75">
      <c r="A159" s="63" t="s">
        <v>231</v>
      </c>
      <c r="B159" s="64">
        <v>2100</v>
      </c>
      <c r="E159" s="91"/>
      <c r="F159" s="91"/>
      <c r="G159" s="91"/>
      <c r="H159" s="91"/>
      <c r="I159" s="90"/>
      <c r="J159" s="90"/>
      <c r="K159" s="91"/>
    </row>
    <row r="160" spans="1:11" ht="15.75">
      <c r="A160" s="63" t="s">
        <v>232</v>
      </c>
      <c r="B160" s="64">
        <v>6100</v>
      </c>
      <c r="E160" s="91"/>
      <c r="F160" s="91"/>
      <c r="G160" s="91"/>
      <c r="H160" s="91"/>
      <c r="I160" s="90"/>
      <c r="J160" s="90"/>
      <c r="K160" s="91"/>
    </row>
    <row r="161" spans="1:11" ht="15.75">
      <c r="A161" s="63" t="s">
        <v>233</v>
      </c>
      <c r="B161" s="64">
        <v>6100</v>
      </c>
      <c r="E161" s="91"/>
      <c r="F161" s="91"/>
      <c r="G161" s="91"/>
      <c r="H161" s="91"/>
      <c r="I161" s="90"/>
      <c r="J161" s="90"/>
      <c r="K161" s="91"/>
    </row>
    <row r="162" spans="1:11" ht="15.75">
      <c r="A162" s="63" t="s">
        <v>234</v>
      </c>
      <c r="B162" s="64">
        <v>6100</v>
      </c>
      <c r="E162" s="91"/>
      <c r="F162" s="91"/>
      <c r="G162" s="91"/>
      <c r="H162" s="91"/>
      <c r="I162" s="90"/>
      <c r="J162" s="90"/>
      <c r="K162" s="91"/>
    </row>
    <row r="163" spans="1:11" ht="15.75">
      <c r="A163" s="63" t="s">
        <v>235</v>
      </c>
      <c r="B163" s="64">
        <v>2100</v>
      </c>
      <c r="E163" s="91"/>
      <c r="F163" s="91"/>
      <c r="G163" s="91"/>
      <c r="H163" s="91"/>
      <c r="I163" s="90"/>
      <c r="J163" s="90"/>
      <c r="K163" s="91"/>
    </row>
    <row r="164" spans="1:11" ht="15.75">
      <c r="A164" s="63" t="s">
        <v>236</v>
      </c>
      <c r="B164" s="64">
        <v>6100</v>
      </c>
      <c r="E164" s="91"/>
      <c r="F164" s="91"/>
      <c r="G164" s="91"/>
      <c r="H164" s="91"/>
      <c r="I164" s="90"/>
      <c r="J164" s="90"/>
      <c r="K164" s="91"/>
    </row>
    <row r="165" spans="1:11" ht="15.75">
      <c r="A165" s="63" t="s">
        <v>237</v>
      </c>
      <c r="B165" s="64">
        <v>3795</v>
      </c>
      <c r="E165" s="91"/>
      <c r="F165" s="91"/>
      <c r="G165" s="91"/>
      <c r="H165" s="91"/>
      <c r="I165" s="90"/>
      <c r="J165" s="90"/>
      <c r="K165" s="91"/>
    </row>
    <row r="166" spans="1:11" ht="15.75">
      <c r="A166" s="63" t="s">
        <v>238</v>
      </c>
      <c r="B166" s="64">
        <v>6000</v>
      </c>
      <c r="E166" s="91"/>
      <c r="F166" s="91"/>
      <c r="G166" s="91"/>
      <c r="H166" s="91"/>
      <c r="I166" s="90"/>
      <c r="J166" s="90"/>
      <c r="K166" s="91"/>
    </row>
    <row r="167" spans="1:11" ht="15.75">
      <c r="A167" s="63" t="s">
        <v>239</v>
      </c>
      <c r="B167" s="64">
        <v>15000</v>
      </c>
      <c r="E167" s="91"/>
      <c r="F167" s="91"/>
      <c r="G167" s="91"/>
      <c r="H167" s="91"/>
      <c r="I167" s="90"/>
      <c r="J167" s="90"/>
      <c r="K167" s="91"/>
    </row>
    <row r="168" spans="1:11" ht="15.75">
      <c r="A168" s="63" t="s">
        <v>240</v>
      </c>
      <c r="B168" s="64">
        <v>1430</v>
      </c>
      <c r="E168" s="91"/>
      <c r="F168" s="91"/>
      <c r="G168" s="91"/>
      <c r="H168" s="91"/>
      <c r="I168" s="90"/>
      <c r="J168" s="90"/>
      <c r="K168" s="91"/>
    </row>
    <row r="169" spans="1:11" ht="15.75">
      <c r="A169" s="63" t="s">
        <v>241</v>
      </c>
      <c r="B169" s="63">
        <v>2000</v>
      </c>
      <c r="E169" s="91"/>
      <c r="F169" s="91"/>
      <c r="G169" s="91"/>
      <c r="H169" s="91"/>
      <c r="I169" s="90"/>
      <c r="J169" s="90"/>
      <c r="K169" s="91"/>
    </row>
    <row r="170" spans="1:11" ht="15.75">
      <c r="A170" s="63" t="s">
        <v>242</v>
      </c>
      <c r="B170" s="63">
        <v>2000</v>
      </c>
      <c r="E170" s="91"/>
      <c r="F170" s="91"/>
      <c r="G170" s="91"/>
      <c r="H170" s="91"/>
      <c r="I170" s="90"/>
      <c r="J170" s="90"/>
      <c r="K170" s="91"/>
    </row>
    <row r="171" spans="1:11" ht="15.75">
      <c r="A171" s="63" t="s">
        <v>243</v>
      </c>
      <c r="B171" s="63">
        <v>2000</v>
      </c>
      <c r="E171" s="91"/>
      <c r="F171" s="91"/>
      <c r="G171" s="91"/>
      <c r="H171" s="91"/>
      <c r="I171" s="90"/>
      <c r="J171" s="90"/>
      <c r="K171" s="91"/>
    </row>
    <row r="172" spans="1:11" ht="15.75">
      <c r="A172" s="63" t="s">
        <v>244</v>
      </c>
      <c r="B172" s="63">
        <v>4000</v>
      </c>
      <c r="E172" s="91"/>
      <c r="F172" s="91"/>
      <c r="G172" s="91"/>
      <c r="H172" s="91"/>
      <c r="I172" s="90"/>
      <c r="J172" s="90"/>
      <c r="K172" s="91"/>
    </row>
    <row r="173" spans="1:11" ht="15.75">
      <c r="A173" s="63" t="s">
        <v>245</v>
      </c>
      <c r="B173" s="64">
        <v>400</v>
      </c>
      <c r="E173" s="91"/>
      <c r="F173" s="91"/>
      <c r="G173" s="91"/>
      <c r="H173" s="91"/>
      <c r="I173" s="90"/>
      <c r="J173" s="90"/>
      <c r="K173" s="91"/>
    </row>
    <row r="174" spans="1:11" ht="15.75">
      <c r="A174" s="63" t="s">
        <v>246</v>
      </c>
      <c r="B174" s="64">
        <v>600</v>
      </c>
      <c r="E174" s="91"/>
      <c r="F174" s="91"/>
      <c r="G174" s="91"/>
      <c r="H174" s="91"/>
      <c r="I174" s="90"/>
      <c r="J174" s="90"/>
      <c r="K174" s="91"/>
    </row>
    <row r="175" spans="1:11" ht="15.75">
      <c r="A175" s="63" t="s">
        <v>247</v>
      </c>
      <c r="B175" s="64">
        <v>250</v>
      </c>
      <c r="E175" s="91"/>
      <c r="F175" s="91"/>
      <c r="G175" s="91"/>
      <c r="H175" s="91"/>
      <c r="I175" s="90"/>
      <c r="J175" s="90"/>
      <c r="K175" s="91"/>
    </row>
    <row r="176" spans="1:11" ht="15.75">
      <c r="A176" s="63" t="s">
        <v>248</v>
      </c>
      <c r="B176" s="63">
        <v>2500</v>
      </c>
      <c r="E176" s="91"/>
      <c r="F176" s="91"/>
      <c r="G176" s="91"/>
      <c r="H176" s="91"/>
      <c r="I176" s="90"/>
      <c r="J176" s="90"/>
      <c r="K176" s="91"/>
    </row>
    <row r="177" spans="1:11" ht="15.75">
      <c r="A177" s="63" t="s">
        <v>249</v>
      </c>
      <c r="B177" s="63">
        <v>2500</v>
      </c>
      <c r="E177" s="91"/>
      <c r="F177" s="91"/>
      <c r="G177" s="91"/>
      <c r="H177" s="91"/>
      <c r="I177" s="90"/>
      <c r="J177" s="90"/>
      <c r="K177" s="91"/>
    </row>
    <row r="178" spans="1:11" ht="15.75">
      <c r="A178" s="63" t="s">
        <v>250</v>
      </c>
      <c r="B178" s="63">
        <v>3500</v>
      </c>
      <c r="E178" s="91"/>
      <c r="F178" s="91"/>
      <c r="G178" s="91"/>
      <c r="H178" s="91"/>
      <c r="I178" s="90"/>
      <c r="J178" s="90"/>
      <c r="K178" s="91"/>
    </row>
    <row r="179" spans="1:11" ht="15.75">
      <c r="A179" s="63" t="s">
        <v>251</v>
      </c>
      <c r="B179" s="63">
        <v>2500</v>
      </c>
      <c r="E179" s="91"/>
      <c r="F179" s="91"/>
      <c r="G179" s="91"/>
      <c r="H179" s="91"/>
      <c r="I179" s="90"/>
      <c r="J179" s="90"/>
      <c r="K179" s="91"/>
    </row>
    <row r="180" spans="1:11" ht="15.75">
      <c r="A180" s="63" t="s">
        <v>252</v>
      </c>
      <c r="B180" s="63">
        <v>3000</v>
      </c>
      <c r="E180" s="91"/>
      <c r="F180" s="91"/>
      <c r="G180" s="91"/>
      <c r="H180" s="91"/>
      <c r="I180" s="90"/>
      <c r="J180" s="90"/>
      <c r="K180" s="91"/>
    </row>
    <row r="181" spans="1:11" ht="15.75">
      <c r="A181" s="63" t="s">
        <v>253</v>
      </c>
      <c r="B181" s="64">
        <v>60</v>
      </c>
      <c r="E181" s="91"/>
      <c r="F181" s="91"/>
      <c r="G181" s="91"/>
      <c r="H181" s="91"/>
      <c r="I181" s="90"/>
      <c r="J181" s="90"/>
      <c r="K181" s="91"/>
    </row>
    <row r="182" spans="1:11" ht="15.75">
      <c r="A182" s="63" t="s">
        <v>254</v>
      </c>
      <c r="B182" s="64">
        <v>1000</v>
      </c>
      <c r="E182" s="91"/>
      <c r="F182" s="91"/>
      <c r="G182" s="91"/>
      <c r="H182" s="91"/>
      <c r="I182" s="90"/>
      <c r="J182" s="90"/>
      <c r="K182" s="91"/>
    </row>
    <row r="183" spans="1:11" ht="15.75">
      <c r="A183" s="63" t="s">
        <v>255</v>
      </c>
      <c r="B183" s="64">
        <v>100</v>
      </c>
      <c r="E183" s="91"/>
      <c r="F183" s="91"/>
      <c r="G183" s="91"/>
      <c r="H183" s="91"/>
      <c r="I183" s="90"/>
      <c r="J183" s="90"/>
      <c r="K183" s="91"/>
    </row>
    <row r="184" spans="1:11" ht="15.75">
      <c r="A184" s="63" t="s">
        <v>256</v>
      </c>
      <c r="B184" s="64">
        <v>150</v>
      </c>
      <c r="E184" s="91"/>
      <c r="F184" s="91"/>
      <c r="G184" s="91"/>
      <c r="H184" s="91"/>
      <c r="I184" s="90"/>
      <c r="J184" s="90"/>
      <c r="K184" s="91"/>
    </row>
    <row r="185" spans="1:11" ht="15.75">
      <c r="A185" s="63" t="s">
        <v>257</v>
      </c>
      <c r="B185" s="64">
        <v>100</v>
      </c>
      <c r="E185" s="91"/>
      <c r="F185" s="91"/>
      <c r="G185" s="91"/>
      <c r="H185" s="91"/>
      <c r="I185" s="90"/>
      <c r="J185" s="90"/>
      <c r="K185" s="91"/>
    </row>
    <row r="186" spans="1:11" ht="15.75">
      <c r="A186" s="63" t="s">
        <v>257</v>
      </c>
      <c r="B186" s="64">
        <v>100</v>
      </c>
      <c r="E186" s="91"/>
      <c r="F186" s="91"/>
      <c r="G186" s="91"/>
      <c r="H186" s="91"/>
      <c r="I186" s="90"/>
      <c r="J186" s="90"/>
      <c r="K186" s="91"/>
    </row>
    <row r="187" spans="1:11" ht="15.75">
      <c r="A187" s="63" t="s">
        <v>258</v>
      </c>
      <c r="B187" s="64">
        <v>125</v>
      </c>
      <c r="E187" s="91"/>
      <c r="F187" s="91"/>
      <c r="G187" s="91"/>
      <c r="H187" s="91"/>
      <c r="I187" s="90"/>
      <c r="J187" s="90"/>
      <c r="K187" s="91"/>
    </row>
    <row r="188" spans="1:11" ht="15.75">
      <c r="A188" s="63" t="s">
        <v>259</v>
      </c>
      <c r="B188" s="64">
        <v>150</v>
      </c>
      <c r="E188" s="91"/>
      <c r="F188" s="91"/>
      <c r="G188" s="91"/>
      <c r="H188" s="91"/>
      <c r="I188" s="90"/>
      <c r="J188" s="90"/>
      <c r="K188" s="91"/>
    </row>
    <row r="189" spans="1:11" ht="15.75">
      <c r="A189" s="63" t="s">
        <v>260</v>
      </c>
      <c r="B189" s="64">
        <v>150</v>
      </c>
      <c r="E189" s="91"/>
      <c r="F189" s="91"/>
      <c r="G189" s="91"/>
      <c r="H189" s="91"/>
      <c r="I189" s="90"/>
      <c r="J189" s="90"/>
      <c r="K189" s="91"/>
    </row>
    <row r="190" spans="1:11" ht="15.75">
      <c r="A190" s="63" t="s">
        <v>261</v>
      </c>
      <c r="B190" s="64">
        <v>200</v>
      </c>
      <c r="E190" s="91"/>
      <c r="F190" s="91"/>
      <c r="G190" s="91"/>
      <c r="H190" s="91"/>
      <c r="I190" s="90"/>
      <c r="J190" s="90"/>
      <c r="K190" s="91"/>
    </row>
    <row r="191" spans="1:11" ht="15.75">
      <c r="A191" s="63" t="s">
        <v>262</v>
      </c>
      <c r="B191" s="64">
        <v>100</v>
      </c>
      <c r="E191" s="91"/>
      <c r="F191" s="91"/>
      <c r="G191" s="91"/>
      <c r="H191" s="91"/>
      <c r="I191" s="90"/>
      <c r="J191" s="90"/>
      <c r="K191" s="91"/>
    </row>
    <row r="192" spans="1:11" ht="15.75">
      <c r="A192" s="63" t="s">
        <v>263</v>
      </c>
      <c r="B192" s="64">
        <v>550</v>
      </c>
      <c r="E192" s="91"/>
      <c r="F192" s="91"/>
      <c r="G192" s="91"/>
      <c r="H192" s="91"/>
      <c r="I192" s="90"/>
      <c r="J192" s="90"/>
      <c r="K192" s="91"/>
    </row>
    <row r="193" spans="1:11" ht="15.75">
      <c r="A193" s="63" t="s">
        <v>264</v>
      </c>
      <c r="B193" s="63">
        <v>1500</v>
      </c>
      <c r="E193" s="91"/>
      <c r="F193" s="91"/>
      <c r="G193" s="91"/>
      <c r="H193" s="91"/>
      <c r="I193" s="90"/>
      <c r="J193" s="90"/>
      <c r="K193" s="91"/>
    </row>
    <row r="194" spans="1:11" ht="15.75">
      <c r="A194" s="63" t="s">
        <v>265</v>
      </c>
      <c r="B194" s="63">
        <v>1250</v>
      </c>
      <c r="E194" s="91"/>
      <c r="F194" s="91"/>
      <c r="G194" s="91"/>
      <c r="H194" s="91"/>
      <c r="I194" s="90"/>
      <c r="J194" s="90"/>
      <c r="K194" s="91"/>
    </row>
    <row r="195" spans="1:11" ht="15.75">
      <c r="A195" s="63" t="s">
        <v>266</v>
      </c>
      <c r="B195" s="63">
        <v>1500</v>
      </c>
      <c r="E195" s="91"/>
      <c r="F195" s="91"/>
      <c r="G195" s="91"/>
      <c r="H195" s="91"/>
      <c r="I195" s="90"/>
      <c r="J195" s="90"/>
      <c r="K195" s="91"/>
    </row>
    <row r="196" spans="1:11" ht="15.75">
      <c r="A196" s="63" t="s">
        <v>267</v>
      </c>
      <c r="B196" s="64">
        <v>350</v>
      </c>
      <c r="E196" s="91"/>
      <c r="F196" s="91"/>
      <c r="G196" s="91"/>
      <c r="H196" s="91"/>
      <c r="I196" s="90"/>
      <c r="J196" s="90"/>
      <c r="K196" s="91"/>
    </row>
    <row r="197" spans="1:11" ht="15.75">
      <c r="A197" s="63" t="s">
        <v>268</v>
      </c>
      <c r="B197" s="64">
        <v>200</v>
      </c>
      <c r="E197" s="91"/>
      <c r="F197" s="91"/>
      <c r="G197" s="91"/>
      <c r="H197" s="91"/>
      <c r="I197" s="90"/>
      <c r="J197" s="90"/>
      <c r="K197" s="91"/>
    </row>
    <row r="198" spans="1:11" ht="15.75">
      <c r="A198" s="63" t="s">
        <v>269</v>
      </c>
      <c r="B198" s="64">
        <v>400</v>
      </c>
      <c r="E198" s="91"/>
      <c r="F198" s="91"/>
      <c r="G198" s="91"/>
      <c r="H198" s="91"/>
      <c r="I198" s="90"/>
      <c r="J198" s="90"/>
      <c r="K198" s="91"/>
    </row>
    <row r="199" spans="1:11" ht="15.75">
      <c r="A199" s="63" t="s">
        <v>270</v>
      </c>
      <c r="B199" s="63">
        <v>3000</v>
      </c>
      <c r="E199" s="91"/>
      <c r="F199" s="91"/>
      <c r="G199" s="91"/>
      <c r="H199" s="91"/>
      <c r="I199" s="90"/>
      <c r="J199" s="90"/>
      <c r="K199" s="91"/>
    </row>
    <row r="200" spans="1:11" ht="15.75">
      <c r="A200" s="63" t="s">
        <v>271</v>
      </c>
      <c r="B200" s="63">
        <v>2250</v>
      </c>
      <c r="E200" s="91"/>
      <c r="F200" s="91"/>
      <c r="G200" s="91"/>
      <c r="H200" s="91"/>
      <c r="I200" s="90"/>
      <c r="J200" s="90"/>
      <c r="K200" s="91"/>
    </row>
    <row r="201" spans="1:11" ht="15.75">
      <c r="A201" s="63" t="s">
        <v>272</v>
      </c>
      <c r="B201" s="64">
        <v>1000</v>
      </c>
      <c r="E201" s="91"/>
      <c r="F201" s="91"/>
      <c r="G201" s="91"/>
      <c r="H201" s="91"/>
      <c r="I201" s="90"/>
      <c r="J201" s="90"/>
      <c r="K201" s="91"/>
    </row>
    <row r="202" spans="1:11">
      <c r="A202" s="63" t="s">
        <v>273</v>
      </c>
      <c r="B202" s="64">
        <v>500</v>
      </c>
    </row>
    <row r="203" spans="1:11">
      <c r="A203" s="63" t="s">
        <v>274</v>
      </c>
      <c r="B203" s="64">
        <v>600</v>
      </c>
    </row>
    <row r="204" spans="1:11">
      <c r="A204" s="63" t="s">
        <v>275</v>
      </c>
      <c r="B204" s="64">
        <v>2750</v>
      </c>
    </row>
    <row r="205" spans="1:11">
      <c r="A205" s="63" t="s">
        <v>276</v>
      </c>
      <c r="B205" s="64">
        <v>1500</v>
      </c>
    </row>
    <row r="206" spans="1:11">
      <c r="A206" s="63" t="s">
        <v>277</v>
      </c>
      <c r="B206" s="64">
        <v>50</v>
      </c>
    </row>
    <row r="207" spans="1:11">
      <c r="A207" s="63" t="s">
        <v>278</v>
      </c>
      <c r="B207" s="64">
        <v>700</v>
      </c>
    </row>
    <row r="208" spans="1:11">
      <c r="A208" s="63" t="s">
        <v>279</v>
      </c>
      <c r="B208" s="64">
        <v>150</v>
      </c>
    </row>
    <row r="209" spans="1:2">
      <c r="A209" s="63" t="s">
        <v>280</v>
      </c>
      <c r="B209" s="64">
        <v>200</v>
      </c>
    </row>
    <row r="210" spans="1:2">
      <c r="A210" s="63" t="s">
        <v>281</v>
      </c>
      <c r="B210" s="64">
        <v>400</v>
      </c>
    </row>
    <row r="211" spans="1:2">
      <c r="A211" s="63" t="s">
        <v>282</v>
      </c>
      <c r="B211" s="64">
        <v>100</v>
      </c>
    </row>
    <row r="212" spans="1:2">
      <c r="A212" s="63" t="s">
        <v>283</v>
      </c>
      <c r="B212" s="64">
        <v>500</v>
      </c>
    </row>
    <row r="213" spans="1:2">
      <c r="A213" s="63" t="s">
        <v>284</v>
      </c>
      <c r="B213" s="63">
        <v>750</v>
      </c>
    </row>
    <row r="214" spans="1:2">
      <c r="A214" s="63" t="s">
        <v>285</v>
      </c>
      <c r="B214" s="63">
        <v>1500</v>
      </c>
    </row>
    <row r="215" spans="1:2">
      <c r="A215" s="63" t="s">
        <v>286</v>
      </c>
      <c r="B215" s="63">
        <v>100</v>
      </c>
    </row>
    <row r="216" spans="1:2">
      <c r="A216" s="63" t="s">
        <v>287</v>
      </c>
      <c r="B216" s="64">
        <v>2500</v>
      </c>
    </row>
    <row r="217" spans="1:2">
      <c r="A217" s="63" t="s">
        <v>288</v>
      </c>
      <c r="B217" s="64">
        <v>600</v>
      </c>
    </row>
    <row r="218" spans="1:2">
      <c r="A218" s="63" t="s">
        <v>289</v>
      </c>
      <c r="B218" s="63">
        <v>2000</v>
      </c>
    </row>
    <row r="219" spans="1:2">
      <c r="A219" s="63" t="s">
        <v>290</v>
      </c>
      <c r="B219" s="64">
        <v>350</v>
      </c>
    </row>
    <row r="220" spans="1:2">
      <c r="A220" s="63" t="s">
        <v>291</v>
      </c>
      <c r="B220" s="64">
        <v>250</v>
      </c>
    </row>
    <row r="221" spans="1:2">
      <c r="A221" s="63" t="s">
        <v>292</v>
      </c>
      <c r="B221" s="64">
        <v>200</v>
      </c>
    </row>
    <row r="222" spans="1:2">
      <c r="A222" s="63" t="s">
        <v>293</v>
      </c>
      <c r="B222" s="64">
        <v>750</v>
      </c>
    </row>
    <row r="223" spans="1:2">
      <c r="A223" s="63" t="s">
        <v>294</v>
      </c>
      <c r="B223" s="63">
        <v>500</v>
      </c>
    </row>
    <row r="224" spans="1:2">
      <c r="A224" s="63" t="s">
        <v>294</v>
      </c>
      <c r="B224" s="63">
        <v>500</v>
      </c>
    </row>
    <row r="225" spans="1:2">
      <c r="A225" s="63" t="s">
        <v>295</v>
      </c>
      <c r="B225" s="63">
        <v>500</v>
      </c>
    </row>
    <row r="226" spans="1:2">
      <c r="A226" s="63" t="s">
        <v>295</v>
      </c>
      <c r="B226" s="63">
        <v>500</v>
      </c>
    </row>
    <row r="227" spans="1:2">
      <c r="A227" s="63" t="s">
        <v>296</v>
      </c>
      <c r="B227" s="63">
        <v>500</v>
      </c>
    </row>
    <row r="228" spans="1:2">
      <c r="A228" s="63" t="s">
        <v>297</v>
      </c>
      <c r="B228" s="63">
        <v>500</v>
      </c>
    </row>
    <row r="229" spans="1:2">
      <c r="A229" s="63" t="s">
        <v>298</v>
      </c>
      <c r="B229" s="63">
        <v>500</v>
      </c>
    </row>
    <row r="230" spans="1:2">
      <c r="A230" s="63" t="s">
        <v>298</v>
      </c>
      <c r="B230" s="63">
        <v>500</v>
      </c>
    </row>
    <row r="231" spans="1:2">
      <c r="A231" s="63" t="s">
        <v>299</v>
      </c>
      <c r="B231" s="63">
        <v>1500</v>
      </c>
    </row>
    <row r="232" spans="1:2">
      <c r="A232" s="63" t="s">
        <v>300</v>
      </c>
      <c r="B232" s="63">
        <v>3000</v>
      </c>
    </row>
    <row r="233" spans="1:2">
      <c r="A233" s="63" t="s">
        <v>301</v>
      </c>
      <c r="B233" s="63">
        <v>4000</v>
      </c>
    </row>
    <row r="234" spans="1:2">
      <c r="A234" s="63" t="s">
        <v>302</v>
      </c>
      <c r="B234" s="63">
        <v>500</v>
      </c>
    </row>
    <row r="235" spans="1:2">
      <c r="A235" s="63" t="s">
        <v>302</v>
      </c>
      <c r="B235" s="63">
        <v>500</v>
      </c>
    </row>
    <row r="236" spans="1:2">
      <c r="A236" s="63" t="s">
        <v>303</v>
      </c>
      <c r="B236" s="63">
        <v>500</v>
      </c>
    </row>
    <row r="237" spans="1:2">
      <c r="A237" s="63" t="s">
        <v>303</v>
      </c>
      <c r="B237" s="63">
        <v>500</v>
      </c>
    </row>
    <row r="238" spans="1:2">
      <c r="A238" s="63" t="s">
        <v>304</v>
      </c>
      <c r="B238" s="63">
        <v>500</v>
      </c>
    </row>
    <row r="239" spans="1:2">
      <c r="A239" s="63" t="s">
        <v>305</v>
      </c>
      <c r="B239" s="63">
        <v>500</v>
      </c>
    </row>
    <row r="240" spans="1:2">
      <c r="A240" s="63" t="s">
        <v>306</v>
      </c>
      <c r="B240" s="63">
        <v>500</v>
      </c>
    </row>
    <row r="241" spans="1:2">
      <c r="A241" s="63" t="s">
        <v>306</v>
      </c>
      <c r="B241" s="63">
        <v>500</v>
      </c>
    </row>
    <row r="242" spans="1:2">
      <c r="A242" s="63" t="s">
        <v>307</v>
      </c>
      <c r="B242" s="64">
        <v>50</v>
      </c>
    </row>
    <row r="243" spans="1:2">
      <c r="A243" s="63" t="s">
        <v>308</v>
      </c>
      <c r="B243" s="64">
        <v>150</v>
      </c>
    </row>
    <row r="244" spans="1:2">
      <c r="A244" s="63" t="s">
        <v>309</v>
      </c>
      <c r="B244" s="64">
        <v>100</v>
      </c>
    </row>
    <row r="245" spans="1:2">
      <c r="A245" s="63" t="s">
        <v>310</v>
      </c>
      <c r="B245" s="64">
        <v>250</v>
      </c>
    </row>
    <row r="246" spans="1:2">
      <c r="A246" s="63" t="s">
        <v>311</v>
      </c>
      <c r="B246" s="64">
        <v>350</v>
      </c>
    </row>
    <row r="247" spans="1:2">
      <c r="A247" s="63" t="s">
        <v>312</v>
      </c>
      <c r="B247" s="64">
        <v>200</v>
      </c>
    </row>
    <row r="248" spans="1:2">
      <c r="A248" s="63" t="s">
        <v>313</v>
      </c>
      <c r="B248" s="63">
        <v>1500</v>
      </c>
    </row>
    <row r="249" spans="1:2">
      <c r="A249" s="63" t="s">
        <v>314</v>
      </c>
      <c r="B249" s="63">
        <v>1500</v>
      </c>
    </row>
    <row r="250" spans="1:2">
      <c r="A250" s="63" t="s">
        <v>315</v>
      </c>
      <c r="B250" s="64">
        <v>150</v>
      </c>
    </row>
    <row r="251" spans="1:2">
      <c r="A251" s="63" t="s">
        <v>316</v>
      </c>
      <c r="B251" s="64">
        <v>200</v>
      </c>
    </row>
    <row r="252" spans="1:2">
      <c r="A252" s="63" t="s">
        <v>317</v>
      </c>
      <c r="B252" s="64">
        <v>100</v>
      </c>
    </row>
    <row r="253" spans="1:2">
      <c r="A253" s="63" t="s">
        <v>318</v>
      </c>
      <c r="B253" s="63">
        <v>2000</v>
      </c>
    </row>
    <row r="254" spans="1:2">
      <c r="A254" s="63" t="s">
        <v>319</v>
      </c>
      <c r="B254" s="64">
        <v>500</v>
      </c>
    </row>
    <row r="255" spans="1:2">
      <c r="A255" s="63" t="s">
        <v>320</v>
      </c>
      <c r="B255" s="64">
        <v>250</v>
      </c>
    </row>
    <row r="256" spans="1:2">
      <c r="A256" s="63" t="s">
        <v>321</v>
      </c>
      <c r="B256" s="64">
        <v>400</v>
      </c>
    </row>
    <row r="257" spans="1:2">
      <c r="A257" s="63" t="s">
        <v>322</v>
      </c>
      <c r="B257" s="64">
        <v>450</v>
      </c>
    </row>
    <row r="258" spans="1:2">
      <c r="A258" s="63" t="s">
        <v>323</v>
      </c>
      <c r="B258" s="64">
        <v>900</v>
      </c>
    </row>
    <row r="259" spans="1:2">
      <c r="A259" s="63" t="s">
        <v>324</v>
      </c>
      <c r="B259" s="64">
        <v>2760</v>
      </c>
    </row>
    <row r="260" spans="1:2">
      <c r="A260" s="63" t="s">
        <v>325</v>
      </c>
      <c r="B260" s="64">
        <v>1900</v>
      </c>
    </row>
    <row r="261" spans="1:2">
      <c r="A261" s="63" t="s">
        <v>326</v>
      </c>
      <c r="B261" s="64">
        <v>1900</v>
      </c>
    </row>
    <row r="262" spans="1:2">
      <c r="A262" s="63" t="s">
        <v>327</v>
      </c>
      <c r="B262" s="64">
        <v>1900</v>
      </c>
    </row>
    <row r="263" spans="1:2">
      <c r="A263" s="63" t="s">
        <v>328</v>
      </c>
      <c r="B263" s="63">
        <v>1000</v>
      </c>
    </row>
    <row r="264" spans="1:2">
      <c r="A264" s="63" t="s">
        <v>329</v>
      </c>
      <c r="B264" s="64">
        <v>650</v>
      </c>
    </row>
    <row r="265" spans="1:2">
      <c r="A265" s="63" t="s">
        <v>330</v>
      </c>
      <c r="B265" s="64">
        <v>75</v>
      </c>
    </row>
    <row r="266" spans="1:2">
      <c r="A266" s="63" t="s">
        <v>331</v>
      </c>
      <c r="B266" s="64">
        <v>750</v>
      </c>
    </row>
    <row r="267" spans="1:2">
      <c r="A267" s="63" t="s">
        <v>332</v>
      </c>
      <c r="B267" s="64">
        <v>1500</v>
      </c>
    </row>
    <row r="268" spans="1:2">
      <c r="A268" s="63" t="s">
        <v>333</v>
      </c>
      <c r="B268" s="64">
        <v>950</v>
      </c>
    </row>
    <row r="269" spans="1:2">
      <c r="A269" s="63" t="s">
        <v>334</v>
      </c>
      <c r="B269" s="64">
        <v>750</v>
      </c>
    </row>
    <row r="270" spans="1:2">
      <c r="A270" s="63" t="s">
        <v>335</v>
      </c>
      <c r="B270" s="64">
        <v>90</v>
      </c>
    </row>
    <row r="271" spans="1:2">
      <c r="A271" s="63" t="s">
        <v>336</v>
      </c>
      <c r="B271" s="64">
        <v>100</v>
      </c>
    </row>
    <row r="272" spans="1:2">
      <c r="A272" s="63" t="s">
        <v>337</v>
      </c>
      <c r="B272" s="64">
        <v>100</v>
      </c>
    </row>
    <row r="273" spans="1:2">
      <c r="A273" s="63" t="s">
        <v>338</v>
      </c>
      <c r="B273" s="64">
        <v>150</v>
      </c>
    </row>
    <row r="274" spans="1:2">
      <c r="A274" s="63" t="s">
        <v>339</v>
      </c>
      <c r="B274" s="64">
        <v>30</v>
      </c>
    </row>
    <row r="275" spans="1:2">
      <c r="A275" s="63" t="s">
        <v>340</v>
      </c>
      <c r="B275" s="63"/>
    </row>
    <row r="276" spans="1:2">
      <c r="A276" s="63" t="s">
        <v>341</v>
      </c>
      <c r="B276" s="63"/>
    </row>
    <row r="277" spans="1:2">
      <c r="A277" s="63" t="s">
        <v>342</v>
      </c>
      <c r="B277" s="63">
        <v>100</v>
      </c>
    </row>
    <row r="278" spans="1:2">
      <c r="A278" s="63" t="s">
        <v>343</v>
      </c>
      <c r="B278" s="64">
        <v>75</v>
      </c>
    </row>
    <row r="279" spans="1:2">
      <c r="A279" s="63" t="s">
        <v>344</v>
      </c>
      <c r="B279" s="64">
        <v>50</v>
      </c>
    </row>
    <row r="280" spans="1:2">
      <c r="A280" s="63" t="s">
        <v>345</v>
      </c>
      <c r="B280" s="63">
        <v>1500</v>
      </c>
    </row>
    <row r="281" spans="1:2">
      <c r="A281" s="63" t="s">
        <v>346</v>
      </c>
      <c r="B281" s="63">
        <v>2500</v>
      </c>
    </row>
    <row r="282" spans="1:2">
      <c r="A282" s="63" t="s">
        <v>347</v>
      </c>
      <c r="B282" s="63">
        <v>1500</v>
      </c>
    </row>
    <row r="283" spans="1:2">
      <c r="A283" s="63" t="s">
        <v>348</v>
      </c>
      <c r="B283" s="63">
        <v>1200</v>
      </c>
    </row>
    <row r="284" spans="1:2">
      <c r="A284" s="63" t="s">
        <v>349</v>
      </c>
      <c r="B284" s="64">
        <v>550</v>
      </c>
    </row>
    <row r="285" spans="1:2">
      <c r="A285" s="63" t="s">
        <v>350</v>
      </c>
      <c r="B285" s="64">
        <v>550</v>
      </c>
    </row>
    <row r="286" spans="1:2">
      <c r="A286" s="63" t="s">
        <v>351</v>
      </c>
      <c r="B286" s="64">
        <v>950</v>
      </c>
    </row>
    <row r="287" spans="1:2">
      <c r="A287" s="63" t="s">
        <v>352</v>
      </c>
      <c r="B287" s="64">
        <v>750</v>
      </c>
    </row>
    <row r="288" spans="1:2">
      <c r="A288" s="63" t="s">
        <v>353</v>
      </c>
      <c r="B288" s="63">
        <v>1500</v>
      </c>
    </row>
    <row r="289" spans="1:2">
      <c r="A289" s="63" t="s">
        <v>354</v>
      </c>
      <c r="B289" s="63">
        <v>900</v>
      </c>
    </row>
    <row r="290" spans="1:2">
      <c r="A290" s="63" t="s">
        <v>355</v>
      </c>
      <c r="B290" s="64">
        <v>1500</v>
      </c>
    </row>
    <row r="291" spans="1:2">
      <c r="A291" s="63" t="s">
        <v>356</v>
      </c>
      <c r="B291" s="64">
        <v>250</v>
      </c>
    </row>
    <row r="292" spans="1:2">
      <c r="A292" s="63" t="s">
        <v>357</v>
      </c>
      <c r="B292" s="64">
        <v>1500</v>
      </c>
    </row>
    <row r="293" spans="1:2">
      <c r="A293" s="63" t="s">
        <v>358</v>
      </c>
      <c r="B293" s="64">
        <v>200</v>
      </c>
    </row>
    <row r="294" spans="1:2">
      <c r="A294" s="63" t="s">
        <v>359</v>
      </c>
      <c r="B294" s="64">
        <v>750</v>
      </c>
    </row>
    <row r="295" spans="1:2">
      <c r="A295" s="63" t="s">
        <v>360</v>
      </c>
      <c r="B295" s="64">
        <v>250</v>
      </c>
    </row>
    <row r="296" spans="1:2">
      <c r="A296" s="63" t="s">
        <v>361</v>
      </c>
      <c r="B296" s="63">
        <v>1750</v>
      </c>
    </row>
    <row r="297" spans="1:2">
      <c r="A297" s="63" t="s">
        <v>362</v>
      </c>
      <c r="B297" s="63">
        <v>1750</v>
      </c>
    </row>
    <row r="298" spans="1:2">
      <c r="A298" s="63" t="s">
        <v>363</v>
      </c>
      <c r="B298" s="63">
        <v>1500</v>
      </c>
    </row>
    <row r="299" spans="1:2">
      <c r="A299" s="63" t="s">
        <v>364</v>
      </c>
      <c r="B299" s="64">
        <v>500</v>
      </c>
    </row>
    <row r="300" spans="1:2">
      <c r="A300" s="63" t="s">
        <v>365</v>
      </c>
      <c r="B300" s="64">
        <v>250</v>
      </c>
    </row>
    <row r="301" spans="1:2">
      <c r="A301" s="63" t="s">
        <v>366</v>
      </c>
      <c r="B301" s="63">
        <v>1500</v>
      </c>
    </row>
    <row r="302" spans="1:2">
      <c r="A302" s="63" t="s">
        <v>367</v>
      </c>
      <c r="B302" s="64">
        <v>1500</v>
      </c>
    </row>
    <row r="303" spans="1:2">
      <c r="A303" s="63" t="s">
        <v>368</v>
      </c>
      <c r="B303" s="64">
        <v>50</v>
      </c>
    </row>
    <row r="304" spans="1:2">
      <c r="A304" s="63" t="s">
        <v>369</v>
      </c>
      <c r="B304" s="63">
        <v>650</v>
      </c>
    </row>
    <row r="305" spans="1:2">
      <c r="A305" s="63" t="s">
        <v>370</v>
      </c>
      <c r="B305" s="64">
        <v>150</v>
      </c>
    </row>
    <row r="306" spans="1:2">
      <c r="A306" s="63" t="s">
        <v>371</v>
      </c>
      <c r="B306" s="64">
        <v>100</v>
      </c>
    </row>
    <row r="307" spans="1:2">
      <c r="A307" s="63" t="s">
        <v>372</v>
      </c>
      <c r="B307" s="64">
        <v>200</v>
      </c>
    </row>
    <row r="308" spans="1:2">
      <c r="A308" s="63" t="s">
        <v>373</v>
      </c>
      <c r="B308" s="64">
        <v>200</v>
      </c>
    </row>
    <row r="309" spans="1:2">
      <c r="A309" s="63" t="s">
        <v>374</v>
      </c>
      <c r="B309" s="64">
        <v>100</v>
      </c>
    </row>
    <row r="310" spans="1:2">
      <c r="A310" s="63" t="s">
        <v>375</v>
      </c>
      <c r="B310" s="64">
        <v>250</v>
      </c>
    </row>
    <row r="311" spans="1:2">
      <c r="A311" s="63" t="s">
        <v>376</v>
      </c>
      <c r="B311" s="64">
        <v>100</v>
      </c>
    </row>
    <row r="312" spans="1:2">
      <c r="A312" s="63" t="s">
        <v>377</v>
      </c>
      <c r="B312" s="64">
        <v>100</v>
      </c>
    </row>
    <row r="313" spans="1:2">
      <c r="A313" s="63" t="s">
        <v>378</v>
      </c>
      <c r="B313" s="64">
        <v>100</v>
      </c>
    </row>
    <row r="314" spans="1:2">
      <c r="A314" s="63" t="s">
        <v>379</v>
      </c>
      <c r="B314" s="64">
        <v>100</v>
      </c>
    </row>
    <row r="315" spans="1:2">
      <c r="A315" s="63" t="s">
        <v>380</v>
      </c>
      <c r="B315" s="64">
        <v>200</v>
      </c>
    </row>
    <row r="316" spans="1:2">
      <c r="A316" s="63" t="s">
        <v>381</v>
      </c>
      <c r="B316" s="64">
        <v>250</v>
      </c>
    </row>
    <row r="317" spans="1:2">
      <c r="A317" s="63" t="s">
        <v>382</v>
      </c>
      <c r="B317" s="64">
        <v>400</v>
      </c>
    </row>
    <row r="318" spans="1:2">
      <c r="A318" s="63" t="s">
        <v>383</v>
      </c>
      <c r="B318" s="64">
        <v>350</v>
      </c>
    </row>
    <row r="319" spans="1:2">
      <c r="A319" s="63" t="s">
        <v>384</v>
      </c>
      <c r="B319" s="64">
        <v>1950</v>
      </c>
    </row>
    <row r="320" spans="1:2">
      <c r="A320" s="63" t="s">
        <v>385</v>
      </c>
      <c r="B320" s="64">
        <v>400</v>
      </c>
    </row>
    <row r="321" spans="1:2">
      <c r="A321" s="63" t="s">
        <v>386</v>
      </c>
      <c r="B321" s="64">
        <v>300</v>
      </c>
    </row>
    <row r="322" spans="1:2">
      <c r="A322" s="63" t="s">
        <v>387</v>
      </c>
      <c r="B322" s="64">
        <v>350</v>
      </c>
    </row>
    <row r="323" spans="1:2">
      <c r="A323" s="63" t="s">
        <v>388</v>
      </c>
      <c r="B323" s="64">
        <v>150</v>
      </c>
    </row>
    <row r="324" spans="1:2">
      <c r="A324" s="63" t="s">
        <v>389</v>
      </c>
      <c r="B324" s="63">
        <v>2000</v>
      </c>
    </row>
    <row r="325" spans="1:2">
      <c r="A325" s="63" t="s">
        <v>390</v>
      </c>
      <c r="B325" s="63">
        <v>3500</v>
      </c>
    </row>
    <row r="326" spans="1:2">
      <c r="A326" s="63" t="s">
        <v>391</v>
      </c>
      <c r="B326" s="64">
        <v>150</v>
      </c>
    </row>
    <row r="327" spans="1:2">
      <c r="A327" s="63" t="s">
        <v>392</v>
      </c>
      <c r="B327" s="64">
        <v>150</v>
      </c>
    </row>
    <row r="328" spans="1:2">
      <c r="A328" s="63" t="s">
        <v>393</v>
      </c>
      <c r="B328" s="64">
        <v>200</v>
      </c>
    </row>
    <row r="329" spans="1:2">
      <c r="A329" s="63" t="s">
        <v>394</v>
      </c>
      <c r="B329" s="64">
        <v>250</v>
      </c>
    </row>
    <row r="330" spans="1:2">
      <c r="A330" s="63" t="s">
        <v>395</v>
      </c>
      <c r="B330" s="64">
        <v>100</v>
      </c>
    </row>
    <row r="331" spans="1:2">
      <c r="A331" s="63" t="s">
        <v>396</v>
      </c>
      <c r="B331" s="64">
        <v>100</v>
      </c>
    </row>
    <row r="332" spans="1:2">
      <c r="A332" s="63" t="s">
        <v>397</v>
      </c>
      <c r="B332" s="64">
        <v>150</v>
      </c>
    </row>
    <row r="333" spans="1:2">
      <c r="A333" s="63" t="s">
        <v>398</v>
      </c>
      <c r="B333" s="64">
        <v>200</v>
      </c>
    </row>
    <row r="334" spans="1:2">
      <c r="A334" s="63" t="s">
        <v>399</v>
      </c>
      <c r="B334" s="64">
        <v>100</v>
      </c>
    </row>
    <row r="335" spans="1:2">
      <c r="A335" s="63" t="s">
        <v>400</v>
      </c>
      <c r="B335" s="64">
        <v>300</v>
      </c>
    </row>
    <row r="336" spans="1:2">
      <c r="A336" s="63" t="s">
        <v>401</v>
      </c>
      <c r="B336" s="64">
        <v>250</v>
      </c>
    </row>
    <row r="337" spans="1:2">
      <c r="A337" s="63" t="s">
        <v>402</v>
      </c>
      <c r="B337" s="64">
        <v>1750</v>
      </c>
    </row>
    <row r="338" spans="1:2">
      <c r="A338" s="63" t="s">
        <v>403</v>
      </c>
      <c r="B338" s="64">
        <v>3500</v>
      </c>
    </row>
    <row r="339" spans="1:2">
      <c r="A339" s="63" t="s">
        <v>404</v>
      </c>
      <c r="B339" s="64">
        <v>450</v>
      </c>
    </row>
    <row r="340" spans="1:2">
      <c r="A340" s="63" t="s">
        <v>405</v>
      </c>
      <c r="B340" s="64">
        <v>150</v>
      </c>
    </row>
    <row r="341" spans="1:2">
      <c r="A341" s="63" t="s">
        <v>406</v>
      </c>
      <c r="B341" s="64">
        <v>700</v>
      </c>
    </row>
    <row r="342" spans="1:2">
      <c r="A342" s="63" t="s">
        <v>407</v>
      </c>
      <c r="B342" s="64">
        <v>800</v>
      </c>
    </row>
    <row r="343" spans="1:2">
      <c r="A343" s="63" t="s">
        <v>408</v>
      </c>
      <c r="B343" s="63">
        <v>2000</v>
      </c>
    </row>
    <row r="344" spans="1:2">
      <c r="A344" s="63" t="s">
        <v>409</v>
      </c>
      <c r="B344" s="63">
        <v>750</v>
      </c>
    </row>
    <row r="345" spans="1:2">
      <c r="A345" s="63" t="s">
        <v>410</v>
      </c>
      <c r="B345" s="64">
        <v>100</v>
      </c>
    </row>
    <row r="346" spans="1:2">
      <c r="A346" s="63" t="s">
        <v>411</v>
      </c>
      <c r="B346" s="64">
        <v>50</v>
      </c>
    </row>
    <row r="347" spans="1:2">
      <c r="A347" s="63" t="s">
        <v>412</v>
      </c>
      <c r="B347" s="63">
        <v>2500</v>
      </c>
    </row>
    <row r="348" spans="1:2">
      <c r="A348" s="63" t="s">
        <v>413</v>
      </c>
      <c r="B348" s="64">
        <v>240</v>
      </c>
    </row>
    <row r="349" spans="1:2">
      <c r="A349" s="63" t="s">
        <v>414</v>
      </c>
      <c r="B349" s="64">
        <v>280</v>
      </c>
    </row>
    <row r="350" spans="1:2">
      <c r="A350" s="63" t="s">
        <v>415</v>
      </c>
      <c r="B350" s="64">
        <v>300</v>
      </c>
    </row>
    <row r="351" spans="1:2">
      <c r="A351" s="63" t="s">
        <v>416</v>
      </c>
      <c r="B351" s="64">
        <v>45</v>
      </c>
    </row>
    <row r="352" spans="1:2">
      <c r="A352" s="63" t="s">
        <v>417</v>
      </c>
      <c r="B352" s="64">
        <v>35</v>
      </c>
    </row>
    <row r="353" spans="1:2">
      <c r="A353" s="63" t="s">
        <v>418</v>
      </c>
      <c r="B353" s="63">
        <v>1500</v>
      </c>
    </row>
    <row r="354" spans="1:2">
      <c r="A354" s="63" t="s">
        <v>419</v>
      </c>
      <c r="B354" s="63">
        <v>1000</v>
      </c>
    </row>
    <row r="355" spans="1:2">
      <c r="A355" s="63" t="s">
        <v>420</v>
      </c>
      <c r="B355" s="63">
        <v>2000</v>
      </c>
    </row>
    <row r="356" spans="1:2">
      <c r="A356" s="63" t="s">
        <v>421</v>
      </c>
      <c r="B356" s="64">
        <v>200</v>
      </c>
    </row>
    <row r="357" spans="1:2">
      <c r="A357" s="63" t="s">
        <v>422</v>
      </c>
      <c r="B357" s="64">
        <v>950</v>
      </c>
    </row>
    <row r="358" spans="1:2">
      <c r="A358" s="63" t="s">
        <v>423</v>
      </c>
      <c r="B358" s="64">
        <v>320</v>
      </c>
    </row>
    <row r="359" spans="1:2">
      <c r="A359" s="63" t="s">
        <v>424</v>
      </c>
      <c r="B359" s="64">
        <v>750</v>
      </c>
    </row>
    <row r="360" spans="1:2">
      <c r="A360" s="63" t="s">
        <v>425</v>
      </c>
      <c r="B360" s="63">
        <v>2000</v>
      </c>
    </row>
    <row r="361" spans="1:2">
      <c r="A361" s="63" t="s">
        <v>426</v>
      </c>
      <c r="B361" s="63">
        <v>1500</v>
      </c>
    </row>
    <row r="362" spans="1:2">
      <c r="A362" s="63" t="s">
        <v>427</v>
      </c>
      <c r="B362" s="64">
        <v>450</v>
      </c>
    </row>
    <row r="363" spans="1:2">
      <c r="A363" s="63" t="s">
        <v>428</v>
      </c>
      <c r="B363" s="64">
        <v>250</v>
      </c>
    </row>
    <row r="364" spans="1:2">
      <c r="A364" s="63" t="s">
        <v>429</v>
      </c>
      <c r="B364" s="64">
        <v>380</v>
      </c>
    </row>
    <row r="365" spans="1:2">
      <c r="A365" s="63" t="s">
        <v>430</v>
      </c>
      <c r="B365" s="64">
        <v>220</v>
      </c>
    </row>
    <row r="366" spans="1:2">
      <c r="A366" s="63" t="s">
        <v>431</v>
      </c>
      <c r="B366" s="64">
        <v>50</v>
      </c>
    </row>
    <row r="367" spans="1:2">
      <c r="A367" s="63" t="s">
        <v>432</v>
      </c>
      <c r="B367" s="64">
        <v>400</v>
      </c>
    </row>
    <row r="368" spans="1:2">
      <c r="A368" s="63" t="s">
        <v>433</v>
      </c>
      <c r="B368" s="64">
        <v>100</v>
      </c>
    </row>
    <row r="369" spans="1:2">
      <c r="A369" s="63" t="s">
        <v>434</v>
      </c>
      <c r="B369" s="63">
        <v>3000</v>
      </c>
    </row>
    <row r="370" spans="1:2">
      <c r="A370" s="63" t="s">
        <v>435</v>
      </c>
      <c r="B370" s="64">
        <v>400</v>
      </c>
    </row>
    <row r="371" spans="1:2">
      <c r="A371" s="63" t="s">
        <v>436</v>
      </c>
      <c r="B371" s="64">
        <v>600</v>
      </c>
    </row>
    <row r="372" spans="1:2">
      <c r="A372" s="63" t="s">
        <v>437</v>
      </c>
      <c r="B372" s="64">
        <v>350</v>
      </c>
    </row>
    <row r="373" spans="1:2">
      <c r="A373" s="63" t="s">
        <v>438</v>
      </c>
      <c r="B373" s="64">
        <v>120</v>
      </c>
    </row>
    <row r="374" spans="1:2">
      <c r="A374" s="63" t="s">
        <v>439</v>
      </c>
      <c r="B374" s="64">
        <v>775</v>
      </c>
    </row>
    <row r="375" spans="1:2">
      <c r="A375" s="63" t="s">
        <v>440</v>
      </c>
      <c r="B375" s="64">
        <v>1950</v>
      </c>
    </row>
    <row r="376" spans="1:2">
      <c r="A376" s="63" t="s">
        <v>441</v>
      </c>
      <c r="B376" s="64">
        <v>1950</v>
      </c>
    </row>
    <row r="377" spans="1:2">
      <c r="A377" s="63" t="s">
        <v>442</v>
      </c>
      <c r="B377" s="64">
        <v>900</v>
      </c>
    </row>
    <row r="378" spans="1:2">
      <c r="A378" s="63" t="s">
        <v>443</v>
      </c>
      <c r="B378" s="64">
        <v>1720</v>
      </c>
    </row>
    <row r="379" spans="1:2">
      <c r="A379" s="63" t="s">
        <v>444</v>
      </c>
      <c r="B379" s="64">
        <v>400</v>
      </c>
    </row>
    <row r="380" spans="1:2">
      <c r="A380" s="63" t="s">
        <v>445</v>
      </c>
      <c r="B380" s="64">
        <v>320</v>
      </c>
    </row>
    <row r="381" spans="1:2">
      <c r="A381" s="63" t="s">
        <v>446</v>
      </c>
      <c r="B381" s="64">
        <v>200</v>
      </c>
    </row>
    <row r="382" spans="1:2">
      <c r="A382" s="63" t="s">
        <v>447</v>
      </c>
      <c r="B382" s="64">
        <v>36</v>
      </c>
    </row>
    <row r="383" spans="1:2">
      <c r="A383" s="63" t="s">
        <v>448</v>
      </c>
      <c r="B383" s="64">
        <v>9500</v>
      </c>
    </row>
    <row r="384" spans="1:2">
      <c r="A384" s="63" t="s">
        <v>449</v>
      </c>
      <c r="B384" s="63">
        <v>1000</v>
      </c>
    </row>
    <row r="385" spans="1:2">
      <c r="A385" s="63" t="s">
        <v>450</v>
      </c>
      <c r="B385" s="63">
        <v>1500</v>
      </c>
    </row>
    <row r="386" spans="1:2">
      <c r="A386" s="63" t="s">
        <v>451</v>
      </c>
      <c r="B386" s="64">
        <v>900</v>
      </c>
    </row>
    <row r="387" spans="1:2">
      <c r="A387" s="63" t="s">
        <v>452</v>
      </c>
      <c r="B387" s="64">
        <v>900</v>
      </c>
    </row>
    <row r="388" spans="1:2">
      <c r="A388" s="63" t="s">
        <v>453</v>
      </c>
      <c r="B388" s="64">
        <v>450</v>
      </c>
    </row>
    <row r="389" spans="1:2">
      <c r="A389" s="63" t="s">
        <v>454</v>
      </c>
      <c r="B389" s="64">
        <v>470</v>
      </c>
    </row>
    <row r="390" spans="1:2">
      <c r="A390" s="63" t="s">
        <v>455</v>
      </c>
      <c r="B390" s="64">
        <v>850</v>
      </c>
    </row>
    <row r="391" spans="1:2">
      <c r="A391" s="63" t="s">
        <v>456</v>
      </c>
      <c r="B391" s="64">
        <v>550</v>
      </c>
    </row>
    <row r="392" spans="1:2">
      <c r="A392" s="63" t="s">
        <v>457</v>
      </c>
      <c r="B392" s="64">
        <v>25</v>
      </c>
    </row>
    <row r="393" spans="1:2">
      <c r="A393" s="63" t="s">
        <v>458</v>
      </c>
      <c r="B393" s="63">
        <v>2500</v>
      </c>
    </row>
    <row r="394" spans="1:2">
      <c r="A394" s="63" t="s">
        <v>459</v>
      </c>
      <c r="B394" s="63">
        <v>5000</v>
      </c>
    </row>
    <row r="395" spans="1:2">
      <c r="A395" s="63" t="s">
        <v>460</v>
      </c>
      <c r="B395" s="63">
        <v>2000</v>
      </c>
    </row>
    <row r="396" spans="1:2">
      <c r="A396" s="63" t="s">
        <v>461</v>
      </c>
      <c r="B396" s="63">
        <v>0</v>
      </c>
    </row>
    <row r="397" spans="1:2">
      <c r="A397" s="63" t="s">
        <v>462</v>
      </c>
      <c r="B397" s="63">
        <v>2500</v>
      </c>
    </row>
    <row r="398" spans="1:2">
      <c r="A398" s="63" t="s">
        <v>463</v>
      </c>
      <c r="B398" s="63">
        <v>2000</v>
      </c>
    </row>
    <row r="399" spans="1:2">
      <c r="A399" s="63" t="s">
        <v>464</v>
      </c>
      <c r="B399" s="63">
        <v>4500</v>
      </c>
    </row>
    <row r="400" spans="1:2">
      <c r="A400" s="63" t="s">
        <v>465</v>
      </c>
      <c r="B400" s="63">
        <v>750</v>
      </c>
    </row>
    <row r="401" spans="1:2">
      <c r="A401" s="63" t="s">
        <v>466</v>
      </c>
      <c r="B401" s="63">
        <v>1000</v>
      </c>
    </row>
    <row r="402" spans="1:2">
      <c r="A402" s="63" t="s">
        <v>467</v>
      </c>
      <c r="B402" s="63">
        <v>1500</v>
      </c>
    </row>
    <row r="403" spans="1:2">
      <c r="A403" s="63" t="s">
        <v>468</v>
      </c>
      <c r="B403" s="63">
        <v>1000</v>
      </c>
    </row>
    <row r="404" spans="1:2">
      <c r="A404" s="63" t="s">
        <v>469</v>
      </c>
      <c r="B404" s="63">
        <v>2000</v>
      </c>
    </row>
    <row r="405" spans="1:2">
      <c r="A405" s="63" t="s">
        <v>470</v>
      </c>
      <c r="B405" s="63">
        <v>1000</v>
      </c>
    </row>
    <row r="406" spans="1:2">
      <c r="A406" s="63" t="s">
        <v>471</v>
      </c>
      <c r="B406" s="63">
        <v>1600</v>
      </c>
    </row>
    <row r="407" spans="1:2">
      <c r="A407" s="63" t="s">
        <v>472</v>
      </c>
      <c r="B407" s="64">
        <v>100</v>
      </c>
    </row>
    <row r="408" spans="1:2">
      <c r="A408" s="63" t="s">
        <v>473</v>
      </c>
      <c r="B408" s="64">
        <v>550</v>
      </c>
    </row>
    <row r="409" spans="1:2">
      <c r="A409" s="63" t="s">
        <v>474</v>
      </c>
      <c r="B409" s="64">
        <v>550</v>
      </c>
    </row>
    <row r="410" spans="1:2">
      <c r="A410" s="63" t="s">
        <v>475</v>
      </c>
      <c r="B410" s="64">
        <v>500</v>
      </c>
    </row>
    <row r="411" spans="1:2">
      <c r="A411" s="63" t="s">
        <v>476</v>
      </c>
      <c r="B411" s="64">
        <v>750</v>
      </c>
    </row>
    <row r="412" spans="1:2">
      <c r="A412" s="63" t="s">
        <v>477</v>
      </c>
      <c r="B412" s="63">
        <v>2500</v>
      </c>
    </row>
    <row r="413" spans="1:2">
      <c r="A413" s="63" t="s">
        <v>478</v>
      </c>
      <c r="B413" s="63">
        <v>3500</v>
      </c>
    </row>
    <row r="414" spans="1:2">
      <c r="A414" s="63" t="s">
        <v>479</v>
      </c>
      <c r="B414" s="64">
        <v>450</v>
      </c>
    </row>
    <row r="415" spans="1:2">
      <c r="A415" s="63" t="s">
        <v>480</v>
      </c>
      <c r="B415" s="64">
        <v>1500</v>
      </c>
    </row>
    <row r="416" spans="1:2">
      <c r="A416" s="63" t="s">
        <v>481</v>
      </c>
      <c r="B416" s="64">
        <v>1500</v>
      </c>
    </row>
    <row r="417" spans="1:2">
      <c r="A417" s="63" t="s">
        <v>482</v>
      </c>
      <c r="B417" s="64">
        <v>250</v>
      </c>
    </row>
    <row r="418" spans="1:2">
      <c r="A418" s="63" t="s">
        <v>483</v>
      </c>
      <c r="B418" s="64">
        <v>2800</v>
      </c>
    </row>
    <row r="419" spans="1:2">
      <c r="A419" s="63" t="s">
        <v>484</v>
      </c>
      <c r="B419" s="64">
        <v>2800</v>
      </c>
    </row>
    <row r="420" spans="1:2">
      <c r="A420" s="63" t="s">
        <v>485</v>
      </c>
      <c r="B420" s="64">
        <v>100</v>
      </c>
    </row>
    <row r="421" spans="1:2">
      <c r="A421" s="63" t="s">
        <v>486</v>
      </c>
      <c r="B421" s="63">
        <v>1500</v>
      </c>
    </row>
    <row r="422" spans="1:2">
      <c r="A422" s="63" t="s">
        <v>487</v>
      </c>
      <c r="B422" s="63">
        <v>500</v>
      </c>
    </row>
    <row r="423" spans="1:2">
      <c r="A423" s="63" t="s">
        <v>488</v>
      </c>
      <c r="B423" s="64">
        <v>775</v>
      </c>
    </row>
    <row r="424" spans="1:2">
      <c r="A424" s="63" t="s">
        <v>489</v>
      </c>
      <c r="B424" s="64">
        <v>250</v>
      </c>
    </row>
    <row r="425" spans="1:2">
      <c r="A425" s="63" t="s">
        <v>490</v>
      </c>
      <c r="B425" s="64">
        <v>320</v>
      </c>
    </row>
    <row r="426" spans="1:2">
      <c r="A426" s="63" t="s">
        <v>491</v>
      </c>
      <c r="B426" s="64">
        <v>320</v>
      </c>
    </row>
    <row r="427" spans="1:2">
      <c r="A427" s="63" t="s">
        <v>492</v>
      </c>
      <c r="B427" s="64">
        <v>320</v>
      </c>
    </row>
    <row r="428" spans="1:2">
      <c r="A428" s="63" t="s">
        <v>493</v>
      </c>
      <c r="B428" s="64">
        <v>320</v>
      </c>
    </row>
    <row r="429" spans="1:2">
      <c r="A429" s="63" t="s">
        <v>494</v>
      </c>
      <c r="B429" s="64">
        <v>320</v>
      </c>
    </row>
    <row r="430" spans="1:2">
      <c r="A430" s="63" t="s">
        <v>495</v>
      </c>
      <c r="B430" s="64">
        <v>320</v>
      </c>
    </row>
    <row r="431" spans="1:2">
      <c r="A431" s="63" t="s">
        <v>496</v>
      </c>
      <c r="B431" s="64">
        <v>320</v>
      </c>
    </row>
    <row r="432" spans="1:2">
      <c r="A432" s="63" t="s">
        <v>497</v>
      </c>
      <c r="B432" s="64">
        <v>320</v>
      </c>
    </row>
    <row r="433" spans="1:2">
      <c r="A433" s="63" t="s">
        <v>498</v>
      </c>
      <c r="B433" s="63">
        <v>1500</v>
      </c>
    </row>
    <row r="434" spans="1:2">
      <c r="A434" s="63" t="s">
        <v>499</v>
      </c>
      <c r="B434" s="63">
        <v>2000</v>
      </c>
    </row>
    <row r="435" spans="1:2">
      <c r="A435" s="63" t="s">
        <v>500</v>
      </c>
      <c r="B435" s="63">
        <v>3000</v>
      </c>
    </row>
    <row r="436" spans="1:2">
      <c r="A436" s="63" t="s">
        <v>501</v>
      </c>
      <c r="B436" s="63">
        <v>2500</v>
      </c>
    </row>
    <row r="437" spans="1:2">
      <c r="A437" s="63" t="s">
        <v>502</v>
      </c>
      <c r="B437" s="64">
        <v>650</v>
      </c>
    </row>
    <row r="438" spans="1:2">
      <c r="A438" s="63" t="s">
        <v>503</v>
      </c>
      <c r="B438" s="64">
        <v>280</v>
      </c>
    </row>
    <row r="439" spans="1:2">
      <c r="A439" s="63" t="s">
        <v>504</v>
      </c>
      <c r="B439" s="64">
        <v>350</v>
      </c>
    </row>
    <row r="440" spans="1:2">
      <c r="A440" s="63" t="s">
        <v>505</v>
      </c>
      <c r="B440" s="64">
        <v>300</v>
      </c>
    </row>
    <row r="441" spans="1:2">
      <c r="A441" s="63" t="s">
        <v>506</v>
      </c>
      <c r="B441" s="64">
        <v>100</v>
      </c>
    </row>
    <row r="442" spans="1:2">
      <c r="A442" s="63" t="s">
        <v>507</v>
      </c>
      <c r="B442" s="63">
        <v>2000</v>
      </c>
    </row>
    <row r="443" spans="1:2">
      <c r="A443" s="63" t="s">
        <v>508</v>
      </c>
      <c r="B443" s="63">
        <v>2500</v>
      </c>
    </row>
    <row r="444" spans="1:2">
      <c r="A444" s="63" t="s">
        <v>509</v>
      </c>
      <c r="B444" s="63">
        <v>2500</v>
      </c>
    </row>
    <row r="445" spans="1:2">
      <c r="A445" s="63" t="s">
        <v>510</v>
      </c>
      <c r="B445" s="63">
        <v>200</v>
      </c>
    </row>
    <row r="446" spans="1:2">
      <c r="A446" s="63" t="s">
        <v>511</v>
      </c>
      <c r="B446" s="64">
        <v>350</v>
      </c>
    </row>
    <row r="447" spans="1:2">
      <c r="A447" s="63" t="s">
        <v>512</v>
      </c>
      <c r="B447" s="64">
        <v>200</v>
      </c>
    </row>
    <row r="448" spans="1:2">
      <c r="A448" s="63" t="s">
        <v>513</v>
      </c>
      <c r="B448" s="64">
        <v>150</v>
      </c>
    </row>
    <row r="449" spans="1:2">
      <c r="A449" s="63" t="s">
        <v>513</v>
      </c>
      <c r="B449" s="64">
        <v>150</v>
      </c>
    </row>
    <row r="450" spans="1:2">
      <c r="A450" s="63" t="s">
        <v>514</v>
      </c>
      <c r="B450" s="64">
        <v>2500</v>
      </c>
    </row>
    <row r="451" spans="1:2">
      <c r="A451" s="63" t="s">
        <v>515</v>
      </c>
      <c r="B451" s="64">
        <v>250</v>
      </c>
    </row>
    <row r="452" spans="1:2">
      <c r="A452" s="63" t="s">
        <v>516</v>
      </c>
      <c r="B452" s="64">
        <v>150</v>
      </c>
    </row>
    <row r="453" spans="1:2">
      <c r="A453" s="63" t="s">
        <v>517</v>
      </c>
      <c r="B453" s="64">
        <v>150</v>
      </c>
    </row>
    <row r="454" spans="1:2">
      <c r="A454" s="63" t="s">
        <v>518</v>
      </c>
      <c r="B454" s="64">
        <v>150</v>
      </c>
    </row>
    <row r="455" spans="1:2">
      <c r="A455" s="63" t="s">
        <v>519</v>
      </c>
      <c r="B455" s="64">
        <v>150</v>
      </c>
    </row>
    <row r="456" spans="1:2">
      <c r="A456" s="63" t="s">
        <v>520</v>
      </c>
      <c r="B456" s="64">
        <v>250</v>
      </c>
    </row>
    <row r="457" spans="1:2">
      <c r="A457" s="63" t="s">
        <v>521</v>
      </c>
      <c r="B457" s="64">
        <v>150</v>
      </c>
    </row>
    <row r="458" spans="1:2">
      <c r="A458" s="63" t="s">
        <v>522</v>
      </c>
      <c r="B458" s="64">
        <v>100</v>
      </c>
    </row>
    <row r="459" spans="1:2">
      <c r="A459" s="63" t="s">
        <v>523</v>
      </c>
      <c r="B459" s="64">
        <v>100</v>
      </c>
    </row>
    <row r="460" spans="1:2">
      <c r="A460" s="63" t="s">
        <v>524</v>
      </c>
      <c r="B460" s="64">
        <v>150</v>
      </c>
    </row>
    <row r="461" spans="1:2">
      <c r="A461" s="63" t="s">
        <v>525</v>
      </c>
      <c r="B461" s="64">
        <v>150</v>
      </c>
    </row>
    <row r="462" spans="1:2">
      <c r="A462" s="63" t="s">
        <v>526</v>
      </c>
      <c r="B462" s="64">
        <v>150</v>
      </c>
    </row>
    <row r="463" spans="1:2">
      <c r="A463" s="63" t="s">
        <v>527</v>
      </c>
      <c r="B463" s="64">
        <v>100</v>
      </c>
    </row>
    <row r="464" spans="1:2">
      <c r="A464" s="63" t="s">
        <v>528</v>
      </c>
      <c r="B464" s="64">
        <v>150</v>
      </c>
    </row>
    <row r="465" spans="1:2">
      <c r="A465" s="63" t="s">
        <v>529</v>
      </c>
      <c r="B465" s="64">
        <v>150</v>
      </c>
    </row>
    <row r="466" spans="1:2">
      <c r="A466" s="63" t="s">
        <v>530</v>
      </c>
      <c r="B466" s="64">
        <v>250</v>
      </c>
    </row>
    <row r="467" spans="1:2">
      <c r="A467" s="63" t="s">
        <v>531</v>
      </c>
      <c r="B467" s="64">
        <v>1000</v>
      </c>
    </row>
    <row r="468" spans="1:2">
      <c r="A468" s="63" t="s">
        <v>532</v>
      </c>
      <c r="B468" s="64">
        <v>1250</v>
      </c>
    </row>
    <row r="469" spans="1:2">
      <c r="A469" s="63" t="s">
        <v>533</v>
      </c>
      <c r="B469" s="64">
        <v>1500</v>
      </c>
    </row>
    <row r="470" spans="1:2">
      <c r="A470" s="63" t="s">
        <v>534</v>
      </c>
      <c r="B470" s="64">
        <v>1500</v>
      </c>
    </row>
    <row r="471" spans="1:2">
      <c r="A471" s="63" t="s">
        <v>535</v>
      </c>
      <c r="B471" s="64">
        <v>150</v>
      </c>
    </row>
    <row r="472" spans="1:2">
      <c r="A472" s="63" t="s">
        <v>536</v>
      </c>
      <c r="B472" s="64">
        <v>3000</v>
      </c>
    </row>
    <row r="473" spans="1:2">
      <c r="A473" s="63" t="s">
        <v>537</v>
      </c>
      <c r="B473" s="63">
        <v>2000</v>
      </c>
    </row>
    <row r="474" spans="1:2">
      <c r="A474" s="63" t="s">
        <v>538</v>
      </c>
      <c r="B474" s="63">
        <v>2500</v>
      </c>
    </row>
    <row r="475" spans="1:2">
      <c r="A475" s="63" t="s">
        <v>539</v>
      </c>
      <c r="B475" s="63">
        <v>1500</v>
      </c>
    </row>
    <row r="476" spans="1:2">
      <c r="A476" s="63" t="s">
        <v>540</v>
      </c>
      <c r="B476" s="63">
        <v>1250</v>
      </c>
    </row>
    <row r="477" spans="1:2">
      <c r="A477" s="63" t="s">
        <v>541</v>
      </c>
      <c r="B477" s="64">
        <v>1000</v>
      </c>
    </row>
    <row r="478" spans="1:2">
      <c r="A478" s="63" t="s">
        <v>542</v>
      </c>
      <c r="B478" s="64">
        <v>500</v>
      </c>
    </row>
    <row r="479" spans="1:2">
      <c r="A479" s="63" t="s">
        <v>543</v>
      </c>
      <c r="B479" s="64">
        <v>500</v>
      </c>
    </row>
    <row r="480" spans="1:2">
      <c r="A480" s="63" t="s">
        <v>544</v>
      </c>
      <c r="B480" s="63">
        <v>500</v>
      </c>
    </row>
    <row r="481" spans="1:2">
      <c r="A481" s="63" t="s">
        <v>545</v>
      </c>
      <c r="B481" s="63">
        <v>2500</v>
      </c>
    </row>
    <row r="482" spans="1:2">
      <c r="A482" s="63" t="s">
        <v>546</v>
      </c>
      <c r="B482" s="63">
        <v>3000</v>
      </c>
    </row>
    <row r="483" spans="1:2">
      <c r="A483" s="63" t="s">
        <v>547</v>
      </c>
      <c r="B483" s="63">
        <v>1500</v>
      </c>
    </row>
    <row r="484" spans="1:2">
      <c r="A484" s="63" t="s">
        <v>548</v>
      </c>
      <c r="B484" s="63">
        <v>100</v>
      </c>
    </row>
    <row r="485" spans="1:2">
      <c r="A485" s="63" t="s">
        <v>549</v>
      </c>
      <c r="B485" s="64">
        <v>250</v>
      </c>
    </row>
    <row r="486" spans="1:2">
      <c r="A486" s="63" t="s">
        <v>550</v>
      </c>
      <c r="B486" s="64">
        <v>200</v>
      </c>
    </row>
    <row r="487" spans="1:2">
      <c r="A487" s="63" t="s">
        <v>551</v>
      </c>
      <c r="B487" s="64">
        <v>330</v>
      </c>
    </row>
    <row r="488" spans="1:2">
      <c r="A488" s="63" t="s">
        <v>552</v>
      </c>
      <c r="B488" s="64">
        <v>6000</v>
      </c>
    </row>
    <row r="489" spans="1:2">
      <c r="A489" s="63" t="s">
        <v>553</v>
      </c>
      <c r="B489" s="64">
        <v>3000</v>
      </c>
    </row>
    <row r="490" spans="1:2">
      <c r="A490" s="63" t="s">
        <v>554</v>
      </c>
      <c r="B490" s="64">
        <v>2000</v>
      </c>
    </row>
    <row r="491" spans="1:2">
      <c r="A491" s="63" t="s">
        <v>555</v>
      </c>
      <c r="B491" s="63">
        <v>1500</v>
      </c>
    </row>
    <row r="492" spans="1:2">
      <c r="A492" s="63" t="s">
        <v>556</v>
      </c>
      <c r="B492" s="64">
        <v>1250</v>
      </c>
    </row>
    <row r="493" spans="1:2">
      <c r="A493" s="63" t="s">
        <v>557</v>
      </c>
      <c r="B493" s="64">
        <v>100</v>
      </c>
    </row>
    <row r="494" spans="1:2">
      <c r="A494" s="63" t="s">
        <v>558</v>
      </c>
      <c r="B494" s="64">
        <v>750</v>
      </c>
    </row>
    <row r="495" spans="1:2">
      <c r="A495" s="63" t="s">
        <v>559</v>
      </c>
      <c r="B495" s="64">
        <v>500</v>
      </c>
    </row>
    <row r="496" spans="1:2">
      <c r="A496" s="63" t="s">
        <v>560</v>
      </c>
      <c r="B496" s="64">
        <v>200</v>
      </c>
    </row>
    <row r="497" spans="1:2">
      <c r="A497" s="63" t="s">
        <v>561</v>
      </c>
      <c r="B497" s="64">
        <v>120</v>
      </c>
    </row>
    <row r="498" spans="1:2">
      <c r="A498" s="63" t="s">
        <v>562</v>
      </c>
      <c r="B498" s="64">
        <v>100</v>
      </c>
    </row>
    <row r="499" spans="1:2">
      <c r="A499" s="63" t="s">
        <v>563</v>
      </c>
      <c r="B499" s="64">
        <v>1000</v>
      </c>
    </row>
    <row r="500" spans="1:2">
      <c r="A500" s="63" t="s">
        <v>564</v>
      </c>
      <c r="B500" s="64">
        <v>600</v>
      </c>
    </row>
    <row r="501" spans="1:2">
      <c r="A501" s="63" t="s">
        <v>565</v>
      </c>
      <c r="B501" s="64">
        <v>1500</v>
      </c>
    </row>
    <row r="502" spans="1:2">
      <c r="A502" s="63" t="s">
        <v>566</v>
      </c>
      <c r="B502" s="64">
        <v>1000</v>
      </c>
    </row>
    <row r="503" spans="1:2">
      <c r="A503" s="63" t="s">
        <v>567</v>
      </c>
      <c r="B503" s="64">
        <v>320</v>
      </c>
    </row>
    <row r="504" spans="1:2">
      <c r="A504" s="63" t="s">
        <v>568</v>
      </c>
      <c r="B504" s="64">
        <v>320</v>
      </c>
    </row>
    <row r="505" spans="1:2">
      <c r="A505" s="63" t="s">
        <v>569</v>
      </c>
      <c r="B505" s="64">
        <v>320</v>
      </c>
    </row>
    <row r="506" spans="1:2">
      <c r="A506" s="63" t="s">
        <v>570</v>
      </c>
      <c r="B506" s="64">
        <v>320</v>
      </c>
    </row>
    <row r="507" spans="1:2">
      <c r="A507" s="63" t="s">
        <v>571</v>
      </c>
      <c r="B507" s="64">
        <v>600</v>
      </c>
    </row>
    <row r="508" spans="1:2">
      <c r="A508" s="63" t="s">
        <v>572</v>
      </c>
      <c r="B508" s="64">
        <v>600</v>
      </c>
    </row>
    <row r="509" spans="1:2">
      <c r="A509" s="63" t="s">
        <v>573</v>
      </c>
      <c r="B509" s="64">
        <v>600</v>
      </c>
    </row>
    <row r="510" spans="1:2">
      <c r="A510" s="63" t="s">
        <v>574</v>
      </c>
      <c r="B510" s="64">
        <v>90</v>
      </c>
    </row>
    <row r="511" spans="1:2">
      <c r="A511" s="63" t="s">
        <v>574</v>
      </c>
      <c r="B511" s="64">
        <v>0</v>
      </c>
    </row>
    <row r="512" spans="1:2">
      <c r="A512" s="63" t="s">
        <v>575</v>
      </c>
      <c r="B512" s="64">
        <v>600</v>
      </c>
    </row>
    <row r="513" spans="1:2">
      <c r="A513" s="63" t="s">
        <v>576</v>
      </c>
      <c r="B513" s="64">
        <v>200</v>
      </c>
    </row>
    <row r="514" spans="1:2">
      <c r="A514" s="63" t="s">
        <v>577</v>
      </c>
      <c r="B514" s="64">
        <v>200</v>
      </c>
    </row>
    <row r="515" spans="1:2">
      <c r="A515" s="63" t="s">
        <v>578</v>
      </c>
      <c r="B515" s="64">
        <v>200</v>
      </c>
    </row>
    <row r="516" spans="1:2">
      <c r="A516" s="63" t="s">
        <v>579</v>
      </c>
      <c r="B516" s="64">
        <v>200</v>
      </c>
    </row>
    <row r="517" spans="1:2">
      <c r="A517" s="63" t="s">
        <v>580</v>
      </c>
      <c r="B517" s="64">
        <v>200</v>
      </c>
    </row>
    <row r="518" spans="1:2">
      <c r="A518" s="63" t="s">
        <v>581</v>
      </c>
      <c r="B518" s="64">
        <v>250</v>
      </c>
    </row>
    <row r="519" spans="1:2">
      <c r="A519" s="63" t="s">
        <v>582</v>
      </c>
      <c r="B519" s="64">
        <v>250</v>
      </c>
    </row>
    <row r="520" spans="1:2">
      <c r="A520" s="63" t="s">
        <v>583</v>
      </c>
      <c r="B520" s="64">
        <v>250</v>
      </c>
    </row>
    <row r="521" spans="1:2">
      <c r="A521" s="63" t="s">
        <v>584</v>
      </c>
      <c r="B521" s="64">
        <v>250</v>
      </c>
    </row>
    <row r="522" spans="1:2">
      <c r="A522" s="63" t="s">
        <v>585</v>
      </c>
      <c r="B522" s="64">
        <v>90</v>
      </c>
    </row>
    <row r="523" spans="1:2">
      <c r="A523" s="63" t="s">
        <v>586</v>
      </c>
      <c r="B523" s="64">
        <v>250</v>
      </c>
    </row>
    <row r="524" spans="1:2">
      <c r="A524" s="63" t="s">
        <v>587</v>
      </c>
      <c r="B524" s="64">
        <v>250</v>
      </c>
    </row>
    <row r="525" spans="1:2">
      <c r="A525" s="63" t="s">
        <v>588</v>
      </c>
      <c r="B525" s="64">
        <v>250</v>
      </c>
    </row>
    <row r="526" spans="1:2">
      <c r="A526" s="63" t="s">
        <v>589</v>
      </c>
      <c r="B526" s="64">
        <v>90</v>
      </c>
    </row>
    <row r="527" spans="1:2">
      <c r="A527" s="63" t="s">
        <v>590</v>
      </c>
      <c r="B527" s="64">
        <v>90</v>
      </c>
    </row>
    <row r="528" spans="1:2">
      <c r="A528" s="63" t="s">
        <v>591</v>
      </c>
      <c r="B528" s="64">
        <v>90</v>
      </c>
    </row>
    <row r="529" spans="1:2">
      <c r="A529" s="63" t="s">
        <v>592</v>
      </c>
      <c r="B529" s="64">
        <v>90</v>
      </c>
    </row>
    <row r="530" spans="1:2">
      <c r="A530" s="63" t="s">
        <v>593</v>
      </c>
      <c r="B530" s="64">
        <v>90</v>
      </c>
    </row>
    <row r="531" spans="1:2">
      <c r="A531" s="63" t="s">
        <v>594</v>
      </c>
      <c r="B531" s="64">
        <v>90</v>
      </c>
    </row>
    <row r="532" spans="1:2">
      <c r="A532" s="63" t="s">
        <v>595</v>
      </c>
      <c r="B532" s="64">
        <v>150</v>
      </c>
    </row>
    <row r="533" spans="1:2">
      <c r="A533" s="63" t="s">
        <v>596</v>
      </c>
      <c r="B533" s="64">
        <v>600</v>
      </c>
    </row>
    <row r="534" spans="1:2">
      <c r="A534" s="63" t="s">
        <v>597</v>
      </c>
      <c r="B534" s="64">
        <v>350</v>
      </c>
    </row>
    <row r="535" spans="1:2">
      <c r="A535" s="63" t="s">
        <v>598</v>
      </c>
      <c r="B535" s="64">
        <v>350</v>
      </c>
    </row>
    <row r="536" spans="1:2">
      <c r="A536" s="63" t="s">
        <v>599</v>
      </c>
      <c r="B536" s="64">
        <v>350</v>
      </c>
    </row>
    <row r="537" spans="1:2">
      <c r="A537" s="63" t="s">
        <v>600</v>
      </c>
      <c r="B537" s="64">
        <v>350</v>
      </c>
    </row>
    <row r="538" spans="1:2">
      <c r="A538" s="63" t="s">
        <v>601</v>
      </c>
      <c r="B538" s="64">
        <v>90</v>
      </c>
    </row>
    <row r="539" spans="1:2">
      <c r="A539" s="63" t="s">
        <v>602</v>
      </c>
      <c r="B539" s="64">
        <v>450</v>
      </c>
    </row>
    <row r="540" spans="1:2">
      <c r="A540" s="63" t="s">
        <v>603</v>
      </c>
      <c r="B540" s="64">
        <v>450</v>
      </c>
    </row>
    <row r="541" spans="1:2">
      <c r="A541" s="63" t="s">
        <v>604</v>
      </c>
      <c r="B541" s="64">
        <v>450</v>
      </c>
    </row>
    <row r="542" spans="1:2">
      <c r="A542" s="63" t="s">
        <v>605</v>
      </c>
      <c r="B542" s="64">
        <v>450</v>
      </c>
    </row>
    <row r="543" spans="1:2">
      <c r="A543" s="63" t="s">
        <v>606</v>
      </c>
      <c r="B543" s="64">
        <v>450</v>
      </c>
    </row>
    <row r="544" spans="1:2">
      <c r="A544" s="63" t="s">
        <v>607</v>
      </c>
      <c r="B544" s="64">
        <v>450</v>
      </c>
    </row>
    <row r="545" spans="1:2">
      <c r="A545" s="63" t="s">
        <v>608</v>
      </c>
      <c r="B545" s="64">
        <v>450</v>
      </c>
    </row>
    <row r="546" spans="1:2">
      <c r="A546" s="63" t="s">
        <v>609</v>
      </c>
      <c r="B546" s="64">
        <v>450</v>
      </c>
    </row>
    <row r="547" spans="1:2">
      <c r="A547" s="63" t="s">
        <v>610</v>
      </c>
      <c r="B547" s="64">
        <v>450</v>
      </c>
    </row>
    <row r="548" spans="1:2">
      <c r="A548" s="63" t="s">
        <v>611</v>
      </c>
      <c r="B548" s="64">
        <v>450</v>
      </c>
    </row>
    <row r="549" spans="1:2">
      <c r="A549" s="63" t="s">
        <v>612</v>
      </c>
      <c r="B549" s="64">
        <v>450</v>
      </c>
    </row>
    <row r="550" spans="1:2">
      <c r="A550" s="63" t="s">
        <v>613</v>
      </c>
      <c r="B550" s="64">
        <v>450</v>
      </c>
    </row>
    <row r="551" spans="1:2">
      <c r="A551" s="63" t="s">
        <v>614</v>
      </c>
      <c r="B551" s="64">
        <v>550</v>
      </c>
    </row>
    <row r="552" spans="1:2">
      <c r="A552" s="63" t="s">
        <v>615</v>
      </c>
      <c r="B552" s="64">
        <v>550</v>
      </c>
    </row>
    <row r="553" spans="1:2">
      <c r="A553" s="63" t="s">
        <v>616</v>
      </c>
      <c r="B553" s="64">
        <v>550</v>
      </c>
    </row>
    <row r="554" spans="1:2">
      <c r="A554" s="63" t="s">
        <v>617</v>
      </c>
      <c r="B554" s="64">
        <v>550</v>
      </c>
    </row>
    <row r="555" spans="1:2">
      <c r="A555" s="63" t="s">
        <v>618</v>
      </c>
      <c r="B555" s="64">
        <v>550</v>
      </c>
    </row>
    <row r="556" spans="1:2">
      <c r="A556" s="63" t="s">
        <v>619</v>
      </c>
      <c r="B556" s="64">
        <v>550</v>
      </c>
    </row>
    <row r="557" spans="1:2">
      <c r="A557" s="63" t="s">
        <v>620</v>
      </c>
      <c r="B557" s="64">
        <v>550</v>
      </c>
    </row>
    <row r="558" spans="1:2">
      <c r="A558" s="63" t="s">
        <v>621</v>
      </c>
      <c r="B558" s="64">
        <v>90</v>
      </c>
    </row>
    <row r="559" spans="1:2">
      <c r="A559" s="63" t="s">
        <v>622</v>
      </c>
      <c r="B559" s="64">
        <v>150</v>
      </c>
    </row>
    <row r="560" spans="1:2">
      <c r="A560" s="63" t="s">
        <v>623</v>
      </c>
      <c r="B560" s="64">
        <v>150</v>
      </c>
    </row>
    <row r="561" spans="1:2">
      <c r="A561" s="63" t="s">
        <v>624</v>
      </c>
      <c r="B561" s="64">
        <v>150</v>
      </c>
    </row>
    <row r="562" spans="1:2">
      <c r="A562" s="63" t="s">
        <v>625</v>
      </c>
      <c r="B562" s="64">
        <v>200</v>
      </c>
    </row>
    <row r="563" spans="1:2">
      <c r="A563" s="63" t="s">
        <v>626</v>
      </c>
      <c r="B563" s="64">
        <v>250</v>
      </c>
    </row>
    <row r="564" spans="1:2">
      <c r="A564" s="63" t="s">
        <v>627</v>
      </c>
      <c r="B564" s="64">
        <v>250</v>
      </c>
    </row>
    <row r="565" spans="1:2">
      <c r="A565" s="63" t="s">
        <v>628</v>
      </c>
      <c r="B565" s="64">
        <v>750</v>
      </c>
    </row>
    <row r="566" spans="1:2">
      <c r="A566" s="63" t="s">
        <v>629</v>
      </c>
      <c r="B566" s="64">
        <v>250</v>
      </c>
    </row>
    <row r="567" spans="1:2">
      <c r="A567" s="63" t="s">
        <v>630</v>
      </c>
      <c r="B567" s="63">
        <v>1000</v>
      </c>
    </row>
    <row r="568" spans="1:2">
      <c r="A568" s="63" t="s">
        <v>631</v>
      </c>
      <c r="B568" s="63">
        <v>250</v>
      </c>
    </row>
    <row r="569" spans="1:2">
      <c r="A569" s="63" t="s">
        <v>632</v>
      </c>
      <c r="B569" s="64">
        <v>100</v>
      </c>
    </row>
    <row r="570" spans="1:2">
      <c r="A570" s="63" t="s">
        <v>633</v>
      </c>
      <c r="B570" s="64">
        <v>600</v>
      </c>
    </row>
    <row r="571" spans="1:2">
      <c r="A571" s="63" t="s">
        <v>634</v>
      </c>
      <c r="B571" s="64">
        <v>320</v>
      </c>
    </row>
    <row r="572" spans="1:2">
      <c r="A572" s="63" t="s">
        <v>635</v>
      </c>
      <c r="B572" s="63">
        <v>350</v>
      </c>
    </row>
    <row r="573" spans="1:2">
      <c r="A573" s="63" t="s">
        <v>636</v>
      </c>
      <c r="B573" s="64">
        <v>700</v>
      </c>
    </row>
    <row r="574" spans="1:2">
      <c r="A574" s="63" t="s">
        <v>637</v>
      </c>
      <c r="B574" s="64">
        <v>350</v>
      </c>
    </row>
    <row r="575" spans="1:2">
      <c r="A575" s="63" t="s">
        <v>638</v>
      </c>
      <c r="B575" s="64">
        <v>250</v>
      </c>
    </row>
    <row r="576" spans="1:2">
      <c r="A576" s="63" t="s">
        <v>639</v>
      </c>
      <c r="B576" s="64">
        <v>300</v>
      </c>
    </row>
    <row r="577" spans="1:2">
      <c r="A577" s="63" t="s">
        <v>640</v>
      </c>
      <c r="B577" s="64">
        <v>320</v>
      </c>
    </row>
    <row r="578" spans="1:2">
      <c r="A578" s="63" t="s">
        <v>641</v>
      </c>
      <c r="B578" s="64">
        <v>150</v>
      </c>
    </row>
    <row r="579" spans="1:2">
      <c r="A579" s="63" t="s">
        <v>642</v>
      </c>
      <c r="B579" s="64">
        <v>100</v>
      </c>
    </row>
    <row r="580" spans="1:2">
      <c r="A580" s="63" t="s">
        <v>643</v>
      </c>
      <c r="B580" s="64">
        <v>750</v>
      </c>
    </row>
    <row r="581" spans="1:2">
      <c r="A581" s="63" t="s">
        <v>644</v>
      </c>
      <c r="B581" s="64">
        <v>750</v>
      </c>
    </row>
    <row r="582" spans="1:2">
      <c r="A582" s="63" t="s">
        <v>645</v>
      </c>
      <c r="B582" s="63">
        <v>1500</v>
      </c>
    </row>
    <row r="583" spans="1:2">
      <c r="A583" s="63" t="s">
        <v>646</v>
      </c>
      <c r="B583" s="63">
        <v>1000</v>
      </c>
    </row>
    <row r="584" spans="1:2">
      <c r="A584" s="63" t="s">
        <v>647</v>
      </c>
      <c r="B584" s="63">
        <v>1200</v>
      </c>
    </row>
    <row r="585" spans="1:2">
      <c r="A585" s="63" t="s">
        <v>648</v>
      </c>
      <c r="B585" s="63">
        <v>1500</v>
      </c>
    </row>
    <row r="586" spans="1:2">
      <c r="A586" s="63" t="s">
        <v>649</v>
      </c>
      <c r="B586" s="63">
        <v>2500</v>
      </c>
    </row>
    <row r="587" spans="1:2">
      <c r="A587" s="63" t="s">
        <v>650</v>
      </c>
      <c r="B587" s="63">
        <v>1500</v>
      </c>
    </row>
    <row r="588" spans="1:2">
      <c r="A588" s="63" t="s">
        <v>651</v>
      </c>
      <c r="B588" s="63">
        <v>2000</v>
      </c>
    </row>
    <row r="589" spans="1:2">
      <c r="A589" s="63" t="s">
        <v>652</v>
      </c>
      <c r="B589" s="63">
        <v>500</v>
      </c>
    </row>
    <row r="590" spans="1:2">
      <c r="A590" s="63" t="s">
        <v>653</v>
      </c>
      <c r="B590" s="63">
        <v>500</v>
      </c>
    </row>
    <row r="591" spans="1:2">
      <c r="A591" s="63" t="s">
        <v>654</v>
      </c>
      <c r="B591" s="63">
        <v>500</v>
      </c>
    </row>
    <row r="592" spans="1:2">
      <c r="A592" s="63" t="s">
        <v>655</v>
      </c>
      <c r="B592" s="63">
        <v>1000</v>
      </c>
    </row>
    <row r="593" spans="1:2">
      <c r="A593" s="63" t="s">
        <v>656</v>
      </c>
      <c r="B593" s="63">
        <v>1000</v>
      </c>
    </row>
    <row r="594" spans="1:2">
      <c r="A594" s="63" t="s">
        <v>657</v>
      </c>
      <c r="B594" s="63">
        <v>1000</v>
      </c>
    </row>
    <row r="595" spans="1:2">
      <c r="A595" s="63" t="s">
        <v>658</v>
      </c>
      <c r="B595" s="63">
        <v>1250</v>
      </c>
    </row>
    <row r="596" spans="1:2">
      <c r="A596" s="63" t="s">
        <v>659</v>
      </c>
      <c r="B596" s="63">
        <v>1250</v>
      </c>
    </row>
    <row r="597" spans="1:2">
      <c r="A597" s="63" t="s">
        <v>660</v>
      </c>
      <c r="B597" s="63">
        <v>1250</v>
      </c>
    </row>
    <row r="598" spans="1:2">
      <c r="A598" s="63" t="s">
        <v>661</v>
      </c>
      <c r="B598" s="63">
        <v>1250</v>
      </c>
    </row>
    <row r="599" spans="1:2">
      <c r="A599" s="63" t="s">
        <v>662</v>
      </c>
      <c r="B599" s="63">
        <v>1250</v>
      </c>
    </row>
    <row r="600" spans="1:2">
      <c r="A600" s="63" t="s">
        <v>663</v>
      </c>
      <c r="B600" s="63">
        <v>1250</v>
      </c>
    </row>
    <row r="601" spans="1:2">
      <c r="A601" s="63" t="s">
        <v>664</v>
      </c>
      <c r="B601" s="64">
        <v>1000</v>
      </c>
    </row>
    <row r="602" spans="1:2">
      <c r="A602" s="63" t="s">
        <v>665</v>
      </c>
      <c r="B602" s="64">
        <v>350</v>
      </c>
    </row>
    <row r="603" spans="1:2">
      <c r="A603" s="63" t="s">
        <v>666</v>
      </c>
      <c r="B603" s="64">
        <v>250</v>
      </c>
    </row>
    <row r="604" spans="1:2">
      <c r="A604" s="63" t="s">
        <v>667</v>
      </c>
      <c r="B604" s="64">
        <v>45</v>
      </c>
    </row>
    <row r="605" spans="1:2">
      <c r="A605" s="63" t="s">
        <v>668</v>
      </c>
      <c r="B605" s="63">
        <v>2000</v>
      </c>
    </row>
    <row r="606" spans="1:2">
      <c r="A606" s="63" t="s">
        <v>669</v>
      </c>
      <c r="B606" s="64">
        <v>750</v>
      </c>
    </row>
    <row r="607" spans="1:2">
      <c r="A607" s="63" t="s">
        <v>670</v>
      </c>
      <c r="B607" s="64">
        <v>550</v>
      </c>
    </row>
    <row r="608" spans="1:2">
      <c r="A608" s="63" t="s">
        <v>671</v>
      </c>
      <c r="B608" s="64">
        <v>1200</v>
      </c>
    </row>
    <row r="609" spans="1:2">
      <c r="A609" s="63" t="s">
        <v>672</v>
      </c>
      <c r="B609" s="64">
        <v>1200</v>
      </c>
    </row>
    <row r="610" spans="1:2">
      <c r="A610" s="63" t="s">
        <v>673</v>
      </c>
      <c r="B610" s="64">
        <v>1000</v>
      </c>
    </row>
    <row r="611" spans="1:2">
      <c r="A611" s="63" t="s">
        <v>674</v>
      </c>
      <c r="B611" s="64">
        <v>3600</v>
      </c>
    </row>
    <row r="612" spans="1:2">
      <c r="A612" s="63" t="s">
        <v>675</v>
      </c>
      <c r="B612" s="64">
        <v>100</v>
      </c>
    </row>
    <row r="613" spans="1:2">
      <c r="A613" s="63" t="s">
        <v>676</v>
      </c>
      <c r="B613" s="63"/>
    </row>
    <row r="614" spans="1:2">
      <c r="A614" s="63" t="s">
        <v>677</v>
      </c>
      <c r="B614" s="63"/>
    </row>
    <row r="615" spans="1:2">
      <c r="A615" s="63" t="s">
        <v>678</v>
      </c>
      <c r="B615" s="63">
        <v>2500</v>
      </c>
    </row>
    <row r="616" spans="1:2">
      <c r="A616" s="63" t="s">
        <v>679</v>
      </c>
      <c r="B616" s="63"/>
    </row>
    <row r="617" spans="1:2">
      <c r="A617" s="63" t="s">
        <v>1026</v>
      </c>
      <c r="B617" s="63">
        <v>150</v>
      </c>
    </row>
    <row r="618" spans="1:2">
      <c r="A618" s="63" t="s">
        <v>1027</v>
      </c>
      <c r="B618" s="65">
        <v>100</v>
      </c>
    </row>
    <row r="619" spans="1:2">
      <c r="A619" s="63" t="s">
        <v>1028</v>
      </c>
      <c r="B619" s="63">
        <v>0</v>
      </c>
    </row>
    <row r="620" spans="1:2">
      <c r="A620" s="63" t="s">
        <v>1029</v>
      </c>
      <c r="B620" s="63">
        <v>0</v>
      </c>
    </row>
    <row r="621" spans="1:2">
      <c r="A621" s="63" t="s">
        <v>1030</v>
      </c>
      <c r="B621" s="63">
        <v>100</v>
      </c>
    </row>
    <row r="622" spans="1:2">
      <c r="A622" s="63" t="s">
        <v>1031</v>
      </c>
      <c r="B622" s="63">
        <v>0</v>
      </c>
    </row>
    <row r="623" spans="1:2">
      <c r="A623" s="63" t="s">
        <v>1032</v>
      </c>
      <c r="B623" s="63">
        <v>0</v>
      </c>
    </row>
    <row r="624" spans="1:2">
      <c r="A624" s="63" t="s">
        <v>699</v>
      </c>
      <c r="B624" s="63">
        <v>0</v>
      </c>
    </row>
    <row r="625" spans="1:2">
      <c r="A625" s="63" t="s">
        <v>1033</v>
      </c>
      <c r="B625" s="63">
        <v>0</v>
      </c>
    </row>
    <row r="626" spans="1:2">
      <c r="A626" s="63" t="s">
        <v>1034</v>
      </c>
      <c r="B626" s="63">
        <v>800</v>
      </c>
    </row>
    <row r="627" spans="1:2">
      <c r="A627" s="63" t="s">
        <v>1035</v>
      </c>
      <c r="B627" s="63">
        <v>0</v>
      </c>
    </row>
    <row r="628" spans="1:2">
      <c r="A628" s="63" t="s">
        <v>1036</v>
      </c>
      <c r="B628" s="63">
        <v>0</v>
      </c>
    </row>
    <row r="629" spans="1:2">
      <c r="A629" s="63" t="s">
        <v>1037</v>
      </c>
      <c r="B629" s="63">
        <v>0</v>
      </c>
    </row>
    <row r="630" spans="1:2">
      <c r="A630" s="63" t="s">
        <v>1038</v>
      </c>
      <c r="B630" s="63">
        <v>0</v>
      </c>
    </row>
    <row r="631" spans="1:2">
      <c r="A631" s="63" t="s">
        <v>1039</v>
      </c>
      <c r="B631" s="63">
        <v>0</v>
      </c>
    </row>
    <row r="632" spans="1:2">
      <c r="A632" s="63" t="s">
        <v>1040</v>
      </c>
      <c r="B632" s="63">
        <v>0</v>
      </c>
    </row>
    <row r="633" spans="1:2">
      <c r="A633" s="95" t="s">
        <v>1041</v>
      </c>
      <c r="B633" s="63">
        <v>0</v>
      </c>
    </row>
    <row r="634" spans="1:2">
      <c r="A634" s="96" t="s">
        <v>1042</v>
      </c>
      <c r="B634" s="63">
        <v>0</v>
      </c>
    </row>
    <row r="635" spans="1:2">
      <c r="A635" s="96" t="s">
        <v>1043</v>
      </c>
      <c r="B635" s="63">
        <v>0</v>
      </c>
    </row>
    <row r="636" spans="1:2">
      <c r="A636" s="96" t="s">
        <v>1044</v>
      </c>
      <c r="B636" s="63">
        <v>0</v>
      </c>
    </row>
    <row r="637" spans="1:2">
      <c r="A637" s="96" t="s">
        <v>1045</v>
      </c>
      <c r="B637" s="63">
        <v>0</v>
      </c>
    </row>
    <row r="638" spans="1:2">
      <c r="A638" s="96" t="s">
        <v>1046</v>
      </c>
      <c r="B638" s="63">
        <v>0</v>
      </c>
    </row>
    <row r="639" spans="1:2">
      <c r="A639" s="96" t="s">
        <v>1047</v>
      </c>
      <c r="B639" s="63">
        <v>0</v>
      </c>
    </row>
    <row r="640" spans="1:2">
      <c r="A640" s="96" t="s">
        <v>1048</v>
      </c>
      <c r="B640" s="63">
        <v>0</v>
      </c>
    </row>
    <row r="641" spans="1:2">
      <c r="A641" s="96" t="s">
        <v>1049</v>
      </c>
      <c r="B641" s="63">
        <v>0</v>
      </c>
    </row>
    <row r="642" spans="1:2">
      <c r="A642" s="96" t="s">
        <v>1050</v>
      </c>
      <c r="B642" s="63">
        <v>0</v>
      </c>
    </row>
    <row r="643" spans="1:2">
      <c r="A643" s="96" t="s">
        <v>1051</v>
      </c>
      <c r="B643" s="63">
        <v>0</v>
      </c>
    </row>
    <row r="644" spans="1:2">
      <c r="A644" s="95" t="s">
        <v>1052</v>
      </c>
      <c r="B644" s="63">
        <v>150</v>
      </c>
    </row>
    <row r="645" spans="1:2">
      <c r="A645" s="95" t="s">
        <v>1058</v>
      </c>
      <c r="B645" s="63">
        <v>14.75</v>
      </c>
    </row>
    <row r="646" spans="1:2">
      <c r="A646" s="95" t="s">
        <v>1063</v>
      </c>
      <c r="B646" s="63"/>
    </row>
    <row r="647" spans="1:2">
      <c r="A647" s="95" t="s">
        <v>1064</v>
      </c>
      <c r="B647" s="63"/>
    </row>
    <row r="648" spans="1:2">
      <c r="A648" s="95" t="s">
        <v>1065</v>
      </c>
      <c r="B648" s="63"/>
    </row>
    <row r="649" spans="1:2">
      <c r="A649" s="95" t="s">
        <v>1066</v>
      </c>
      <c r="B649" s="63"/>
    </row>
    <row r="650" spans="1:2">
      <c r="A650" s="95" t="s">
        <v>1070</v>
      </c>
      <c r="B650" s="63"/>
    </row>
    <row r="651" spans="1:2">
      <c r="A651" s="95" t="s">
        <v>1071</v>
      </c>
      <c r="B651" s="63"/>
    </row>
    <row r="652" spans="1:2">
      <c r="A652" s="95" t="s">
        <v>1072</v>
      </c>
      <c r="B652" s="63"/>
    </row>
    <row r="653" spans="1:2">
      <c r="A653" s="95" t="s">
        <v>1073</v>
      </c>
      <c r="B653" s="65"/>
    </row>
    <row r="654" spans="1:2">
      <c r="A654" s="95" t="s">
        <v>1074</v>
      </c>
      <c r="B654" s="63"/>
    </row>
    <row r="655" spans="1:2">
      <c r="A655" s="95" t="s">
        <v>1075</v>
      </c>
      <c r="B655" s="63"/>
    </row>
    <row r="656" spans="1:2">
      <c r="A656" s="95" t="s">
        <v>1076</v>
      </c>
      <c r="B656" s="63"/>
    </row>
    <row r="657" spans="1:2">
      <c r="A657" s="95" t="s">
        <v>1077</v>
      </c>
      <c r="B657" s="63"/>
    </row>
    <row r="658" spans="1:2">
      <c r="A658" s="95" t="s">
        <v>1078</v>
      </c>
      <c r="B658" s="63"/>
    </row>
    <row r="659" spans="1:2">
      <c r="A659" s="95" t="s">
        <v>1079</v>
      </c>
      <c r="B659" s="63"/>
    </row>
    <row r="660" spans="1:2">
      <c r="A660" s="95" t="s">
        <v>1080</v>
      </c>
      <c r="B660" s="63"/>
    </row>
    <row r="661" spans="1:2">
      <c r="A661" s="95" t="s">
        <v>1081</v>
      </c>
      <c r="B661" s="63"/>
    </row>
    <row r="662" spans="1:2">
      <c r="A662" s="95" t="s">
        <v>1082</v>
      </c>
      <c r="B662" s="63"/>
    </row>
    <row r="663" spans="1:2">
      <c r="A663" s="95" t="s">
        <v>1083</v>
      </c>
      <c r="B663" s="63"/>
    </row>
    <row r="664" spans="1:2">
      <c r="A664" s="95" t="s">
        <v>1084</v>
      </c>
      <c r="B664" s="63"/>
    </row>
    <row r="665" spans="1:2">
      <c r="A665" s="95" t="s">
        <v>1085</v>
      </c>
      <c r="B665" s="63"/>
    </row>
    <row r="666" spans="1:2">
      <c r="A666" s="95" t="s">
        <v>1081</v>
      </c>
      <c r="B666" s="63"/>
    </row>
    <row r="667" spans="1:2">
      <c r="A667" s="95" t="s">
        <v>1082</v>
      </c>
      <c r="B667" s="63"/>
    </row>
    <row r="668" spans="1:2">
      <c r="A668" s="95" t="s">
        <v>1083</v>
      </c>
      <c r="B668" s="63"/>
    </row>
    <row r="669" spans="1:2">
      <c r="A669" s="95" t="s">
        <v>1084</v>
      </c>
      <c r="B669" s="63"/>
    </row>
    <row r="670" spans="1:2">
      <c r="A670" s="95" t="s">
        <v>1086</v>
      </c>
      <c r="B670" s="63"/>
    </row>
    <row r="671" spans="1:2">
      <c r="A671" s="95" t="s">
        <v>1090</v>
      </c>
      <c r="B671" s="63"/>
    </row>
    <row r="672" spans="1:2">
      <c r="A672" s="95" t="s">
        <v>1091</v>
      </c>
      <c r="B672" s="63"/>
    </row>
    <row r="673" spans="1:2">
      <c r="A673" s="95" t="s">
        <v>1092</v>
      </c>
      <c r="B673" s="63"/>
    </row>
    <row r="674" spans="1:2">
      <c r="A674" s="95" t="s">
        <v>1093</v>
      </c>
      <c r="B674" s="63"/>
    </row>
    <row r="675" spans="1:2">
      <c r="A675" s="95" t="s">
        <v>1094</v>
      </c>
      <c r="B675" s="63"/>
    </row>
    <row r="676" spans="1:2">
      <c r="A676" s="95" t="s">
        <v>1095</v>
      </c>
      <c r="B676" s="63"/>
    </row>
    <row r="677" spans="1:2">
      <c r="A677" s="95" t="s">
        <v>1096</v>
      </c>
      <c r="B677" s="63"/>
    </row>
    <row r="678" spans="1:2">
      <c r="A678" s="95" t="s">
        <v>1097</v>
      </c>
      <c r="B678" s="63"/>
    </row>
    <row r="679" spans="1:2">
      <c r="A679" s="95" t="s">
        <v>1098</v>
      </c>
      <c r="B679" s="63"/>
    </row>
    <row r="680" spans="1:2">
      <c r="A680" s="95" t="s">
        <v>1099</v>
      </c>
      <c r="B680" s="63"/>
    </row>
    <row r="681" spans="1:2">
      <c r="A681" s="95" t="s">
        <v>1102</v>
      </c>
      <c r="B681" s="63">
        <v>23</v>
      </c>
    </row>
    <row r="682" spans="1:2">
      <c r="A682" s="95" t="s">
        <v>1103</v>
      </c>
      <c r="B682" s="63">
        <v>16</v>
      </c>
    </row>
    <row r="683" spans="1:2">
      <c r="A683" s="95" t="s">
        <v>1110</v>
      </c>
      <c r="B683" s="63">
        <v>2500</v>
      </c>
    </row>
    <row r="684" spans="1:2">
      <c r="A684" s="95"/>
      <c r="B684" s="63"/>
    </row>
    <row r="685" spans="1:2">
      <c r="A685" s="95"/>
      <c r="B685" s="63"/>
    </row>
    <row r="686" spans="1:2">
      <c r="A686" s="95"/>
      <c r="B686" s="63"/>
    </row>
    <row r="687" spans="1:2">
      <c r="A687" s="95"/>
      <c r="B687" s="63"/>
    </row>
    <row r="688" spans="1:2">
      <c r="A688" s="95"/>
      <c r="B688" s="63"/>
    </row>
    <row r="689" spans="1:2">
      <c r="A689" s="95"/>
      <c r="B689" s="63"/>
    </row>
    <row r="690" spans="1:2">
      <c r="A690" s="95"/>
      <c r="B690" s="63"/>
    </row>
    <row r="691" spans="1:2">
      <c r="A691" s="95"/>
      <c r="B691" s="63"/>
    </row>
    <row r="692" spans="1:2">
      <c r="A692" s="95"/>
      <c r="B692" s="63"/>
    </row>
    <row r="693" spans="1:2">
      <c r="A693" s="95"/>
      <c r="B693" s="63"/>
    </row>
    <row r="694" spans="1:2">
      <c r="A694" s="95"/>
      <c r="B694" s="63"/>
    </row>
    <row r="695" spans="1:2">
      <c r="A695" s="95"/>
      <c r="B695" s="63"/>
    </row>
    <row r="696" spans="1:2">
      <c r="A696" s="95"/>
      <c r="B696" s="63"/>
    </row>
    <row r="697" spans="1:2">
      <c r="A697" s="95"/>
      <c r="B697" s="63"/>
    </row>
    <row r="698" spans="1:2">
      <c r="A698" s="95"/>
      <c r="B698" s="63"/>
    </row>
    <row r="699" spans="1:2">
      <c r="A699" s="95"/>
      <c r="B699" s="63"/>
    </row>
    <row r="700" spans="1:2">
      <c r="A700" s="95"/>
      <c r="B700" s="63"/>
    </row>
    <row r="701" spans="1:2">
      <c r="A701" s="95"/>
      <c r="B701" s="63"/>
    </row>
    <row r="702" spans="1:2">
      <c r="A702" s="95"/>
      <c r="B702" s="63"/>
    </row>
    <row r="703" spans="1:2">
      <c r="A703" s="95"/>
      <c r="B703" s="63"/>
    </row>
    <row r="704" spans="1:2">
      <c r="A704" s="95"/>
      <c r="B704" s="63"/>
    </row>
    <row r="705" spans="1:2">
      <c r="A705" s="95"/>
      <c r="B705" s="63"/>
    </row>
    <row r="706" spans="1:2">
      <c r="A706" s="95"/>
      <c r="B706" s="63"/>
    </row>
    <row r="707" spans="1:2">
      <c r="A707" s="95"/>
      <c r="B707" s="63"/>
    </row>
    <row r="708" spans="1:2">
      <c r="A708" s="95"/>
      <c r="B708" s="63"/>
    </row>
    <row r="709" spans="1:2">
      <c r="A709" s="95"/>
      <c r="B709" s="63"/>
    </row>
    <row r="710" spans="1:2">
      <c r="A710" s="95"/>
      <c r="B710" s="63"/>
    </row>
    <row r="711" spans="1:2">
      <c r="A711" s="95"/>
      <c r="B711" s="63"/>
    </row>
    <row r="712" spans="1:2">
      <c r="A712" s="95"/>
      <c r="B712" s="63"/>
    </row>
    <row r="713" spans="1:2">
      <c r="A713" s="95"/>
      <c r="B713" s="63"/>
    </row>
    <row r="714" spans="1:2">
      <c r="A714" s="95"/>
      <c r="B714" s="63"/>
    </row>
    <row r="715" spans="1:2">
      <c r="A715" s="95"/>
      <c r="B715" s="63"/>
    </row>
    <row r="716" spans="1:2">
      <c r="A716" s="95"/>
      <c r="B716" s="63"/>
    </row>
    <row r="717" spans="1:2">
      <c r="A717" s="95"/>
      <c r="B717" s="63"/>
    </row>
    <row r="718" spans="1:2">
      <c r="A718" s="95"/>
      <c r="B718" s="63"/>
    </row>
    <row r="719" spans="1:2">
      <c r="A719" s="95"/>
      <c r="B719" s="63"/>
    </row>
    <row r="720" spans="1:2">
      <c r="A720" s="95"/>
      <c r="B720" s="63"/>
    </row>
    <row r="721" spans="1:2">
      <c r="A721" s="95"/>
      <c r="B721" s="63"/>
    </row>
    <row r="722" spans="1:2">
      <c r="A722" s="95"/>
      <c r="B722" s="63"/>
    </row>
    <row r="723" spans="1:2">
      <c r="A723" s="95"/>
      <c r="B723" s="63"/>
    </row>
    <row r="724" spans="1:2">
      <c r="A724" s="95"/>
      <c r="B724" s="63"/>
    </row>
    <row r="725" spans="1:2">
      <c r="A725" s="95"/>
      <c r="B725" s="63"/>
    </row>
    <row r="726" spans="1:2">
      <c r="A726" s="95"/>
      <c r="B726" s="63"/>
    </row>
    <row r="727" spans="1:2">
      <c r="A727" s="95"/>
      <c r="B727" s="63"/>
    </row>
    <row r="728" spans="1:2">
      <c r="A728" s="95"/>
      <c r="B728" s="63"/>
    </row>
    <row r="729" spans="1:2">
      <c r="A729" s="95"/>
      <c r="B729" s="63"/>
    </row>
    <row r="730" spans="1:2">
      <c r="A730" s="95"/>
      <c r="B730" s="63"/>
    </row>
    <row r="731" spans="1:2">
      <c r="A731" s="95"/>
      <c r="B731" s="63"/>
    </row>
    <row r="732" spans="1:2">
      <c r="A732" s="95"/>
      <c r="B732" s="63"/>
    </row>
    <row r="733" spans="1:2">
      <c r="A733" s="95"/>
      <c r="B733" s="63"/>
    </row>
    <row r="734" spans="1:2">
      <c r="A734" s="95"/>
      <c r="B734" s="63"/>
    </row>
    <row r="735" spans="1:2">
      <c r="A735" s="95"/>
      <c r="B735" s="63"/>
    </row>
    <row r="736" spans="1:2">
      <c r="A736" s="95"/>
      <c r="B736" s="63"/>
    </row>
    <row r="737" spans="1:2">
      <c r="A737" s="95"/>
      <c r="B737" s="63"/>
    </row>
    <row r="738" spans="1:2">
      <c r="A738" s="95"/>
      <c r="B738" s="63"/>
    </row>
    <row r="739" spans="1:2">
      <c r="A739" s="95"/>
      <c r="B739" s="63"/>
    </row>
    <row r="740" spans="1:2">
      <c r="A740" s="95"/>
      <c r="B740" s="63"/>
    </row>
    <row r="741" spans="1:2">
      <c r="A741" s="95"/>
      <c r="B741" s="63"/>
    </row>
    <row r="742" spans="1:2">
      <c r="A742" s="95"/>
      <c r="B742" s="63"/>
    </row>
    <row r="743" spans="1:2">
      <c r="A743" s="95"/>
      <c r="B743" s="63"/>
    </row>
    <row r="744" spans="1:2">
      <c r="A744" s="95"/>
      <c r="B744" s="63"/>
    </row>
    <row r="745" spans="1:2">
      <c r="A745" s="95"/>
      <c r="B745" s="63"/>
    </row>
    <row r="746" spans="1:2">
      <c r="A746" s="95"/>
      <c r="B746" s="63"/>
    </row>
    <row r="747" spans="1:2">
      <c r="A747" s="95"/>
      <c r="B747" s="63"/>
    </row>
    <row r="748" spans="1:2">
      <c r="A748" s="95"/>
      <c r="B748" s="63"/>
    </row>
    <row r="749" spans="1:2">
      <c r="A749" s="95"/>
      <c r="B749" s="63"/>
    </row>
    <row r="750" spans="1:2">
      <c r="A750" s="95"/>
      <c r="B750" s="63"/>
    </row>
    <row r="751" spans="1:2">
      <c r="A751" s="95"/>
      <c r="B751" s="63"/>
    </row>
    <row r="752" spans="1:2">
      <c r="A752" s="95"/>
      <c r="B752" s="63"/>
    </row>
    <row r="753" spans="1:2">
      <c r="A753" s="95"/>
      <c r="B753" s="63"/>
    </row>
    <row r="754" spans="1:2">
      <c r="A754" s="95"/>
      <c r="B754" s="63"/>
    </row>
    <row r="755" spans="1:2">
      <c r="A755" s="95"/>
      <c r="B755" s="63"/>
    </row>
    <row r="756" spans="1:2">
      <c r="A756" s="95"/>
      <c r="B756" s="63"/>
    </row>
    <row r="757" spans="1:2">
      <c r="A757" s="95"/>
      <c r="B757" s="63"/>
    </row>
    <row r="758" spans="1:2">
      <c r="A758" s="95"/>
      <c r="B758" s="63"/>
    </row>
    <row r="759" spans="1:2">
      <c r="A759" s="95"/>
      <c r="B759" s="63"/>
    </row>
    <row r="760" spans="1:2">
      <c r="A760" s="95"/>
      <c r="B760" s="63"/>
    </row>
    <row r="761" spans="1:2">
      <c r="A761" s="95"/>
      <c r="B761" s="63"/>
    </row>
    <row r="762" spans="1:2">
      <c r="A762" s="95"/>
      <c r="B762" s="63"/>
    </row>
    <row r="763" spans="1:2">
      <c r="A763" s="95"/>
      <c r="B763" s="63"/>
    </row>
    <row r="764" spans="1:2">
      <c r="A764" s="95"/>
      <c r="B764" s="63"/>
    </row>
    <row r="765" spans="1:2">
      <c r="A765" s="95"/>
      <c r="B765" s="63"/>
    </row>
    <row r="766" spans="1:2">
      <c r="A766" s="95"/>
      <c r="B766" s="63"/>
    </row>
    <row r="767" spans="1:2">
      <c r="A767" s="95"/>
      <c r="B767" s="63"/>
    </row>
    <row r="768" spans="1:2">
      <c r="A768" s="95"/>
      <c r="B768" s="63"/>
    </row>
    <row r="769" spans="1:2">
      <c r="A769" s="95"/>
      <c r="B769" s="63"/>
    </row>
    <row r="770" spans="1:2">
      <c r="A770" s="95"/>
      <c r="B770" s="63"/>
    </row>
    <row r="771" spans="1:2">
      <c r="A771" s="95"/>
      <c r="B771" s="63"/>
    </row>
    <row r="772" spans="1:2">
      <c r="A772" s="95"/>
      <c r="B772" s="63"/>
    </row>
    <row r="773" spans="1:2">
      <c r="A773" s="95"/>
      <c r="B773" s="63"/>
    </row>
    <row r="774" spans="1:2">
      <c r="A774" s="95"/>
      <c r="B774" s="63"/>
    </row>
    <row r="775" spans="1:2">
      <c r="A775" s="95"/>
      <c r="B775" s="63"/>
    </row>
    <row r="776" spans="1:2">
      <c r="A776" s="95"/>
      <c r="B776" s="63"/>
    </row>
    <row r="777" spans="1:2">
      <c r="A777" s="95"/>
      <c r="B777" s="63"/>
    </row>
    <row r="778" spans="1:2">
      <c r="A778" s="95"/>
      <c r="B778" s="63"/>
    </row>
    <row r="779" spans="1:2">
      <c r="A779" s="95"/>
      <c r="B779" s="63"/>
    </row>
    <row r="780" spans="1:2">
      <c r="A780" s="95"/>
      <c r="B780" s="63"/>
    </row>
    <row r="781" spans="1:2">
      <c r="A781" s="95"/>
      <c r="B781" s="63"/>
    </row>
    <row r="782" spans="1:2">
      <c r="A782" s="95"/>
      <c r="B782" s="63"/>
    </row>
    <row r="783" spans="1:2">
      <c r="A783" s="95"/>
      <c r="B783" s="63"/>
    </row>
    <row r="784" spans="1:2">
      <c r="A784" s="95"/>
      <c r="B784" s="63"/>
    </row>
    <row r="785" spans="1:2">
      <c r="A785" s="95"/>
      <c r="B785" s="63"/>
    </row>
    <row r="786" spans="1:2">
      <c r="A786" s="95"/>
      <c r="B786" s="63"/>
    </row>
    <row r="787" spans="1:2">
      <c r="A787" s="95"/>
      <c r="B787" s="63"/>
    </row>
    <row r="788" spans="1:2">
      <c r="A788" s="95"/>
      <c r="B788" s="63"/>
    </row>
    <row r="789" spans="1:2">
      <c r="A789" s="95"/>
      <c r="B789" s="63"/>
    </row>
    <row r="790" spans="1:2">
      <c r="A790" s="95"/>
      <c r="B790" s="63"/>
    </row>
    <row r="791" spans="1:2">
      <c r="A791" s="95"/>
      <c r="B791" s="63"/>
    </row>
    <row r="792" spans="1:2">
      <c r="A792" s="95"/>
      <c r="B792" s="63"/>
    </row>
    <row r="793" spans="1:2">
      <c r="A793" s="95"/>
      <c r="B793" s="63"/>
    </row>
    <row r="794" spans="1:2">
      <c r="A794" s="95"/>
      <c r="B794" s="63"/>
    </row>
    <row r="795" spans="1:2">
      <c r="A795" s="95"/>
      <c r="B795" s="63"/>
    </row>
    <row r="796" spans="1:2">
      <c r="A796" s="95"/>
      <c r="B796" s="63"/>
    </row>
    <row r="797" spans="1:2">
      <c r="A797" s="95"/>
      <c r="B797" s="63"/>
    </row>
    <row r="798" spans="1:2">
      <c r="A798" s="95"/>
      <c r="B798" s="63"/>
    </row>
    <row r="799" spans="1:2">
      <c r="A799" s="95"/>
      <c r="B799" s="63"/>
    </row>
    <row r="800" spans="1:2">
      <c r="A800" s="95"/>
      <c r="B800" s="63"/>
    </row>
    <row r="801" spans="1:2">
      <c r="A801" s="95"/>
      <c r="B801" s="63"/>
    </row>
    <row r="802" spans="1:2">
      <c r="A802" s="95"/>
      <c r="B802" s="63"/>
    </row>
    <row r="803" spans="1:2">
      <c r="A803" s="95"/>
      <c r="B803" s="63"/>
    </row>
    <row r="804" spans="1:2">
      <c r="A804" s="95"/>
      <c r="B804" s="63"/>
    </row>
    <row r="805" spans="1:2">
      <c r="A805" s="95"/>
      <c r="B805" s="63"/>
    </row>
    <row r="806" spans="1:2">
      <c r="A806" s="95"/>
      <c r="B806" s="63"/>
    </row>
    <row r="807" spans="1:2">
      <c r="A807" s="95"/>
      <c r="B807" s="63"/>
    </row>
    <row r="808" spans="1:2">
      <c r="A808" s="95"/>
      <c r="B808" s="63"/>
    </row>
    <row r="809" spans="1:2">
      <c r="A809" s="95"/>
      <c r="B809" s="63"/>
    </row>
    <row r="810" spans="1:2">
      <c r="A810" s="95"/>
      <c r="B810" s="63"/>
    </row>
    <row r="811" spans="1:2">
      <c r="A811" s="95"/>
      <c r="B811" s="63"/>
    </row>
    <row r="812" spans="1:2">
      <c r="A812" s="95"/>
      <c r="B812" s="63"/>
    </row>
    <row r="813" spans="1:2">
      <c r="A813" s="95"/>
      <c r="B813" s="63"/>
    </row>
    <row r="814" spans="1:2">
      <c r="A814" s="95"/>
      <c r="B814" s="63"/>
    </row>
    <row r="815" spans="1:2">
      <c r="A815" s="95"/>
      <c r="B815" s="63"/>
    </row>
    <row r="816" spans="1:2">
      <c r="A816" s="95"/>
      <c r="B816" s="63"/>
    </row>
    <row r="817" spans="1:2">
      <c r="A817" s="95"/>
      <c r="B817" s="63"/>
    </row>
    <row r="818" spans="1:2">
      <c r="A818" s="95"/>
      <c r="B818" s="63"/>
    </row>
    <row r="819" spans="1:2">
      <c r="A819" s="95"/>
      <c r="B819" s="63"/>
    </row>
    <row r="820" spans="1:2">
      <c r="A820" s="95"/>
      <c r="B820" s="63"/>
    </row>
    <row r="821" spans="1:2">
      <c r="A821" s="95"/>
      <c r="B821" s="63"/>
    </row>
    <row r="822" spans="1:2">
      <c r="A822" s="95"/>
      <c r="B822" s="63"/>
    </row>
    <row r="823" spans="1:2">
      <c r="A823" s="95"/>
      <c r="B823" s="63"/>
    </row>
    <row r="824" spans="1:2">
      <c r="A824" s="95"/>
      <c r="B824" s="63"/>
    </row>
    <row r="825" spans="1:2">
      <c r="A825" s="95"/>
      <c r="B825" s="63"/>
    </row>
    <row r="826" spans="1:2">
      <c r="A826" s="95"/>
      <c r="B826" s="63"/>
    </row>
    <row r="827" spans="1:2">
      <c r="A827" s="95"/>
      <c r="B827" s="63"/>
    </row>
    <row r="828" spans="1:2">
      <c r="A828" s="95"/>
      <c r="B828" s="63"/>
    </row>
    <row r="829" spans="1:2">
      <c r="A829" s="95"/>
      <c r="B829" s="63"/>
    </row>
    <row r="830" spans="1:2">
      <c r="A830" s="95"/>
      <c r="B830" s="63"/>
    </row>
    <row r="831" spans="1:2">
      <c r="A831" s="95"/>
      <c r="B831" s="63"/>
    </row>
    <row r="832" spans="1:2">
      <c r="A832" s="95"/>
      <c r="B832" s="63"/>
    </row>
    <row r="833" spans="1:2">
      <c r="A833" s="95"/>
      <c r="B833" s="63"/>
    </row>
    <row r="834" spans="1:2">
      <c r="A834" s="95"/>
      <c r="B834" s="63"/>
    </row>
    <row r="835" spans="1:2">
      <c r="A835" s="95"/>
      <c r="B835" s="63"/>
    </row>
    <row r="836" spans="1:2">
      <c r="A836" s="95"/>
      <c r="B836" s="63"/>
    </row>
    <row r="837" spans="1:2">
      <c r="A837" s="95"/>
      <c r="B837" s="63"/>
    </row>
    <row r="838" spans="1:2">
      <c r="A838" s="95"/>
      <c r="B838" s="63"/>
    </row>
    <row r="839" spans="1:2">
      <c r="A839" s="95"/>
      <c r="B839" s="63"/>
    </row>
    <row r="840" spans="1:2">
      <c r="A840" s="95"/>
      <c r="B840" s="63"/>
    </row>
    <row r="841" spans="1:2">
      <c r="A841" s="95"/>
      <c r="B841" s="63"/>
    </row>
    <row r="842" spans="1:2">
      <c r="A842" s="95"/>
      <c r="B842" s="63"/>
    </row>
    <row r="843" spans="1:2">
      <c r="A843" s="95"/>
      <c r="B843" s="63"/>
    </row>
    <row r="844" spans="1:2">
      <c r="A844" s="95"/>
      <c r="B844" s="63"/>
    </row>
    <row r="845" spans="1:2">
      <c r="A845" s="95"/>
      <c r="B845" s="63"/>
    </row>
    <row r="846" spans="1:2">
      <c r="A846" s="95"/>
      <c r="B846" s="63"/>
    </row>
    <row r="847" spans="1:2">
      <c r="A847" s="95"/>
      <c r="B847" s="63"/>
    </row>
    <row r="848" spans="1:2">
      <c r="A848" s="95"/>
      <c r="B848" s="63"/>
    </row>
    <row r="849" spans="1:2">
      <c r="A849" s="95"/>
      <c r="B849" s="63"/>
    </row>
    <row r="850" spans="1:2">
      <c r="A850" s="95"/>
      <c r="B850" s="63"/>
    </row>
    <row r="851" spans="1:2">
      <c r="A851" s="95"/>
      <c r="B851" s="63"/>
    </row>
    <row r="852" spans="1:2">
      <c r="A852" s="95"/>
      <c r="B852" s="63"/>
    </row>
    <row r="853" spans="1:2">
      <c r="A853" s="95"/>
      <c r="B853" s="63"/>
    </row>
    <row r="854" spans="1:2">
      <c r="A854" s="95"/>
      <c r="B854" s="63"/>
    </row>
    <row r="855" spans="1:2">
      <c r="A855" s="95"/>
      <c r="B855" s="63"/>
    </row>
    <row r="856" spans="1:2">
      <c r="A856" s="95"/>
      <c r="B856" s="63"/>
    </row>
    <row r="857" spans="1:2">
      <c r="A857" s="95"/>
      <c r="B857" s="63"/>
    </row>
    <row r="858" spans="1:2">
      <c r="A858" s="95"/>
      <c r="B858" s="63"/>
    </row>
    <row r="859" spans="1:2">
      <c r="A859" s="95"/>
      <c r="B859" s="63"/>
    </row>
    <row r="860" spans="1:2">
      <c r="A860" s="95"/>
      <c r="B860" s="63"/>
    </row>
    <row r="861" spans="1:2">
      <c r="A861" s="95"/>
      <c r="B861" s="63"/>
    </row>
    <row r="862" spans="1:2">
      <c r="A862" s="95"/>
      <c r="B862" s="63"/>
    </row>
    <row r="863" spans="1:2">
      <c r="A863" s="95"/>
      <c r="B863" s="63"/>
    </row>
    <row r="864" spans="1:2">
      <c r="A864" s="95"/>
      <c r="B864" s="63"/>
    </row>
    <row r="865" spans="1:2">
      <c r="A865" s="95"/>
      <c r="B865" s="63"/>
    </row>
    <row r="866" spans="1:2">
      <c r="A866" s="95"/>
      <c r="B866" s="63"/>
    </row>
    <row r="867" spans="1:2">
      <c r="A867" s="95"/>
      <c r="B867" s="63"/>
    </row>
    <row r="868" spans="1:2">
      <c r="A868" s="95"/>
      <c r="B868" s="63"/>
    </row>
    <row r="869" spans="1:2">
      <c r="A869" s="95"/>
      <c r="B869" s="63"/>
    </row>
    <row r="870" spans="1:2">
      <c r="A870" s="95"/>
      <c r="B870" s="63"/>
    </row>
    <row r="871" spans="1:2">
      <c r="A871" s="95"/>
      <c r="B871" s="63"/>
    </row>
    <row r="872" spans="1:2">
      <c r="A872" s="95"/>
      <c r="B872" s="63"/>
    </row>
    <row r="873" spans="1:2">
      <c r="A873" s="95"/>
      <c r="B873" s="63"/>
    </row>
    <row r="874" spans="1:2">
      <c r="A874" s="95"/>
      <c r="B874" s="63"/>
    </row>
    <row r="875" spans="1:2">
      <c r="A875" s="95"/>
      <c r="B875" s="63"/>
    </row>
    <row r="876" spans="1:2">
      <c r="A876" s="95"/>
      <c r="B876" s="63"/>
    </row>
    <row r="877" spans="1:2">
      <c r="A877" s="95"/>
      <c r="B877" s="63"/>
    </row>
    <row r="878" spans="1:2">
      <c r="A878" s="95"/>
      <c r="B878" s="63"/>
    </row>
    <row r="879" spans="1:2">
      <c r="A879" s="95"/>
      <c r="B879" s="63"/>
    </row>
    <row r="880" spans="1:2">
      <c r="A880" s="95"/>
      <c r="B880" s="63"/>
    </row>
    <row r="881" spans="1:2">
      <c r="A881" s="95"/>
      <c r="B881" s="63"/>
    </row>
    <row r="882" spans="1:2">
      <c r="A882" s="95"/>
      <c r="B882" s="63"/>
    </row>
    <row r="883" spans="1:2">
      <c r="A883" s="95"/>
      <c r="B883" s="63"/>
    </row>
    <row r="884" spans="1:2">
      <c r="A884" s="95"/>
      <c r="B884" s="63"/>
    </row>
    <row r="885" spans="1:2">
      <c r="A885" s="95"/>
      <c r="B885" s="63"/>
    </row>
    <row r="886" spans="1:2">
      <c r="A886" s="95"/>
      <c r="B886" s="63"/>
    </row>
    <row r="887" spans="1:2">
      <c r="A887" s="95"/>
      <c r="B887" s="63"/>
    </row>
    <row r="888" spans="1:2">
      <c r="A888" s="95"/>
      <c r="B888" s="63"/>
    </row>
    <row r="889" spans="1:2">
      <c r="A889" s="95"/>
      <c r="B889" s="63"/>
    </row>
    <row r="890" spans="1:2">
      <c r="A890" s="95"/>
      <c r="B890" s="63"/>
    </row>
    <row r="891" spans="1:2">
      <c r="A891" s="95"/>
      <c r="B891" s="63"/>
    </row>
    <row r="892" spans="1:2">
      <c r="A892" s="95"/>
      <c r="B892" s="63"/>
    </row>
    <row r="893" spans="1:2">
      <c r="A893" s="95"/>
      <c r="B893" s="63"/>
    </row>
    <row r="894" spans="1:2">
      <c r="A894" s="95"/>
      <c r="B894" s="63"/>
    </row>
    <row r="895" spans="1:2">
      <c r="A895" s="95"/>
      <c r="B895" s="63"/>
    </row>
    <row r="896" spans="1:2">
      <c r="A896" s="95"/>
      <c r="B896" s="63"/>
    </row>
    <row r="897" spans="1:2">
      <c r="A897" s="95"/>
      <c r="B897" s="63"/>
    </row>
    <row r="898" spans="1:2">
      <c r="A898" s="95"/>
      <c r="B898" s="63"/>
    </row>
    <row r="899" spans="1:2">
      <c r="A899" s="95"/>
      <c r="B899" s="63"/>
    </row>
    <row r="900" spans="1:2">
      <c r="A900" s="95"/>
      <c r="B900" s="63"/>
    </row>
    <row r="901" spans="1:2">
      <c r="A901" s="95"/>
      <c r="B901" s="63"/>
    </row>
    <row r="902" spans="1:2">
      <c r="A902" s="95"/>
      <c r="B902" s="63"/>
    </row>
    <row r="903" spans="1:2">
      <c r="A903" s="95"/>
      <c r="B903" s="63"/>
    </row>
    <row r="904" spans="1:2">
      <c r="A904" s="95"/>
      <c r="B904" s="63"/>
    </row>
    <row r="905" spans="1:2">
      <c r="A905" s="95"/>
      <c r="B905" s="63"/>
    </row>
    <row r="906" spans="1:2">
      <c r="A906" s="95"/>
      <c r="B906" s="63"/>
    </row>
    <row r="907" spans="1:2">
      <c r="A907" s="95"/>
      <c r="B907" s="63"/>
    </row>
    <row r="908" spans="1:2">
      <c r="A908" s="95"/>
      <c r="B908" s="63"/>
    </row>
    <row r="909" spans="1:2">
      <c r="A909" s="95"/>
      <c r="B909" s="63"/>
    </row>
    <row r="910" spans="1:2">
      <c r="A910" s="95"/>
      <c r="B910" s="63"/>
    </row>
    <row r="911" spans="1:2">
      <c r="A911" s="95"/>
      <c r="B911" s="63"/>
    </row>
    <row r="912" spans="1:2">
      <c r="A912" s="95"/>
      <c r="B912" s="63"/>
    </row>
    <row r="913" spans="1:2">
      <c r="A913" s="95"/>
      <c r="B913" s="63"/>
    </row>
    <row r="914" spans="1:2">
      <c r="A914" s="95"/>
      <c r="B914" s="63"/>
    </row>
    <row r="915" spans="1:2">
      <c r="A915" s="95"/>
      <c r="B915" s="63"/>
    </row>
    <row r="916" spans="1:2">
      <c r="A916" s="95"/>
      <c r="B916" s="63"/>
    </row>
    <row r="917" spans="1:2">
      <c r="A917" s="95"/>
      <c r="B917" s="63"/>
    </row>
    <row r="918" spans="1:2">
      <c r="A918" s="95"/>
      <c r="B918" s="63"/>
    </row>
    <row r="919" spans="1:2">
      <c r="A919" s="95"/>
      <c r="B919" s="63"/>
    </row>
    <row r="920" spans="1:2">
      <c r="A920" s="95"/>
      <c r="B920" s="63"/>
    </row>
    <row r="921" spans="1:2">
      <c r="A921" s="95"/>
      <c r="B921" s="63"/>
    </row>
    <row r="922" spans="1:2">
      <c r="A922" s="95"/>
      <c r="B922" s="63"/>
    </row>
    <row r="923" spans="1:2">
      <c r="A923" s="95"/>
      <c r="B923" s="63"/>
    </row>
    <row r="924" spans="1:2">
      <c r="A924" s="95"/>
      <c r="B924" s="63"/>
    </row>
    <row r="925" spans="1:2">
      <c r="A925" s="95"/>
      <c r="B925" s="63"/>
    </row>
    <row r="926" spans="1:2">
      <c r="A926" s="95"/>
      <c r="B926" s="63"/>
    </row>
    <row r="927" spans="1:2">
      <c r="A927" s="95"/>
      <c r="B927" s="63"/>
    </row>
    <row r="928" spans="1:2">
      <c r="A928" s="95"/>
      <c r="B928" s="63"/>
    </row>
    <row r="929" spans="1:2">
      <c r="A929" s="95"/>
      <c r="B929" s="63"/>
    </row>
    <row r="930" spans="1:2">
      <c r="A930" s="95"/>
      <c r="B930" s="63"/>
    </row>
    <row r="931" spans="1:2">
      <c r="A931" s="95"/>
      <c r="B931" s="63"/>
    </row>
    <row r="932" spans="1:2">
      <c r="A932" s="95"/>
      <c r="B932" s="63"/>
    </row>
    <row r="933" spans="1:2">
      <c r="A933" s="95"/>
      <c r="B933" s="63"/>
    </row>
    <row r="934" spans="1:2">
      <c r="A934" s="95"/>
      <c r="B934" s="63"/>
    </row>
    <row r="935" spans="1:2">
      <c r="A935" s="95"/>
      <c r="B935" s="63"/>
    </row>
    <row r="936" spans="1:2">
      <c r="A936" s="95"/>
      <c r="B936" s="63"/>
    </row>
    <row r="937" spans="1:2">
      <c r="A937" s="95"/>
      <c r="B937" s="63"/>
    </row>
    <row r="938" spans="1:2">
      <c r="A938" s="95"/>
      <c r="B938" s="63"/>
    </row>
    <row r="939" spans="1:2">
      <c r="A939" s="95"/>
      <c r="B939" s="63"/>
    </row>
    <row r="940" spans="1:2">
      <c r="A940" s="95"/>
      <c r="B940" s="63"/>
    </row>
    <row r="941" spans="1:2">
      <c r="A941" s="95"/>
      <c r="B941" s="63"/>
    </row>
    <row r="942" spans="1:2">
      <c r="A942" s="95"/>
      <c r="B942" s="63"/>
    </row>
    <row r="943" spans="1:2">
      <c r="A943" s="95"/>
      <c r="B943" s="63"/>
    </row>
    <row r="944" spans="1:2">
      <c r="A944" s="95"/>
      <c r="B944" s="63"/>
    </row>
    <row r="945" spans="1:2">
      <c r="A945" s="95"/>
      <c r="B945" s="63"/>
    </row>
    <row r="946" spans="1:2">
      <c r="A946" s="95"/>
      <c r="B946" s="63"/>
    </row>
    <row r="947" spans="1:2">
      <c r="A947" s="95"/>
      <c r="B947" s="63"/>
    </row>
    <row r="948" spans="1:2">
      <c r="A948" s="95"/>
      <c r="B948" s="63"/>
    </row>
    <row r="949" spans="1:2">
      <c r="A949" s="95"/>
      <c r="B949" s="63"/>
    </row>
    <row r="950" spans="1:2">
      <c r="A950" s="95"/>
      <c r="B950" s="63"/>
    </row>
    <row r="951" spans="1:2">
      <c r="A951" s="95"/>
      <c r="B951" s="63"/>
    </row>
    <row r="952" spans="1:2">
      <c r="A952" s="95"/>
      <c r="B952" s="63"/>
    </row>
    <row r="953" spans="1:2">
      <c r="A953" s="95"/>
      <c r="B953" s="63"/>
    </row>
    <row r="954" spans="1:2">
      <c r="A954" s="95"/>
      <c r="B954" s="63"/>
    </row>
    <row r="955" spans="1:2">
      <c r="A955" s="95"/>
      <c r="B955" s="63"/>
    </row>
    <row r="956" spans="1:2">
      <c r="A956" s="95"/>
      <c r="B956" s="63"/>
    </row>
    <row r="957" spans="1:2">
      <c r="A957" s="95"/>
      <c r="B957" s="63"/>
    </row>
    <row r="958" spans="1:2">
      <c r="A958" s="95"/>
      <c r="B958" s="63"/>
    </row>
    <row r="959" spans="1:2">
      <c r="A959" s="95"/>
      <c r="B959" s="63"/>
    </row>
    <row r="960" spans="1:2">
      <c r="A960" s="95"/>
      <c r="B960" s="63"/>
    </row>
    <row r="961" spans="1:2">
      <c r="A961" s="95"/>
      <c r="B961" s="63"/>
    </row>
    <row r="962" spans="1:2">
      <c r="A962" s="95"/>
      <c r="B962" s="63"/>
    </row>
    <row r="963" spans="1:2">
      <c r="A963" s="95"/>
      <c r="B963" s="63"/>
    </row>
    <row r="964" spans="1:2">
      <c r="A964" s="95"/>
      <c r="B964" s="63"/>
    </row>
    <row r="965" spans="1:2">
      <c r="A965" s="95"/>
      <c r="B965" s="63"/>
    </row>
    <row r="966" spans="1:2">
      <c r="A966" s="95"/>
      <c r="B966" s="63"/>
    </row>
    <row r="967" spans="1:2">
      <c r="A967" s="95"/>
      <c r="B967" s="63"/>
    </row>
    <row r="968" spans="1:2">
      <c r="A968" s="95"/>
      <c r="B968" s="63"/>
    </row>
    <row r="969" spans="1:2">
      <c r="A969" s="95"/>
      <c r="B969" s="63"/>
    </row>
    <row r="970" spans="1:2">
      <c r="A970" s="95"/>
      <c r="B970" s="63"/>
    </row>
    <row r="971" spans="1:2">
      <c r="A971" s="95"/>
      <c r="B971" s="63"/>
    </row>
    <row r="972" spans="1:2">
      <c r="A972" s="95"/>
      <c r="B972" s="63"/>
    </row>
    <row r="973" spans="1:2">
      <c r="A973" s="95"/>
      <c r="B973" s="63"/>
    </row>
    <row r="974" spans="1:2">
      <c r="A974" s="95"/>
      <c r="B974" s="63"/>
    </row>
    <row r="975" spans="1:2">
      <c r="A975" s="95"/>
      <c r="B975" s="63"/>
    </row>
    <row r="976" spans="1:2">
      <c r="A976" s="95"/>
      <c r="B976" s="63"/>
    </row>
    <row r="977" spans="1:2">
      <c r="A977" s="95"/>
      <c r="B977" s="63"/>
    </row>
    <row r="978" spans="1:2">
      <c r="A978" s="95"/>
      <c r="B978" s="63"/>
    </row>
    <row r="979" spans="1:2">
      <c r="A979" s="95"/>
      <c r="B979" s="63"/>
    </row>
    <row r="980" spans="1:2">
      <c r="A980" s="95"/>
      <c r="B980" s="63"/>
    </row>
    <row r="981" spans="1:2">
      <c r="A981" s="95"/>
      <c r="B981" s="63"/>
    </row>
    <row r="982" spans="1:2">
      <c r="A982" s="95"/>
      <c r="B982" s="63"/>
    </row>
    <row r="983" spans="1:2">
      <c r="A983" s="95"/>
      <c r="B983" s="63"/>
    </row>
    <row r="984" spans="1:2">
      <c r="A984" s="95"/>
      <c r="B984" s="63"/>
    </row>
    <row r="985" spans="1:2">
      <c r="A985" s="95"/>
      <c r="B985" s="63"/>
    </row>
    <row r="986" spans="1:2">
      <c r="A986" s="95"/>
      <c r="B986" s="63"/>
    </row>
    <row r="987" spans="1:2">
      <c r="A987" s="95"/>
      <c r="B987" s="63"/>
    </row>
    <row r="988" spans="1:2">
      <c r="A988" s="95"/>
      <c r="B988" s="63"/>
    </row>
  </sheetData>
  <phoneticPr fontId="32" type="noConversion"/>
  <conditionalFormatting sqref="E60:E1048576 E1:E58">
    <cfRule type="duplicateValues" dxfId="15" priority="1"/>
  </conditionalFormatting>
  <hyperlinks>
    <hyperlink ref="I49" r:id="rId1" xr:uid="{97E48859-3087-49D9-BEB6-BFE00551DB3E}"/>
    <hyperlink ref="J49" r:id="rId2" xr:uid="{043A0556-F009-41F7-A1AE-CDC1DFA79BCD}"/>
    <hyperlink ref="K49" r:id="rId3" display="nithil@salukimedia.com" xr:uid="{29DA46BB-B5A7-4471-B280-AD76739BDF1B}"/>
    <hyperlink ref="K55" r:id="rId4" display="nithil@salukimedia.com" xr:uid="{AF2F5D86-37A4-4D32-A0FD-0F7A0BB472E3}"/>
    <hyperlink ref="K24" r:id="rId5" display="nithil@salukimedia.com" xr:uid="{7E77904B-4667-43B9-8FEA-7D92B79F125D}"/>
    <hyperlink ref="K13" r:id="rId6" display="nithil@salukimedia.com" xr:uid="{7FF8AB1F-6AFE-4256-A17A-925B44B0BB82}"/>
    <hyperlink ref="K37" r:id="rId7" display="nithil@salukimedia.com" xr:uid="{E252A519-B642-414A-A18B-97169799A76F}"/>
    <hyperlink ref="K3" r:id="rId8" display="nithil@salukimedia.com" xr:uid="{F91A7F4E-EB09-479A-ADF5-330F2D8FA807}"/>
    <hyperlink ref="K4" r:id="rId9" display="nithil@salukimedia.com" xr:uid="{2E17EC50-03B6-46F1-BA2E-4E5F30A19E9A}"/>
    <hyperlink ref="K19" r:id="rId10" display="nithil@salukimedia.com" xr:uid="{2125D924-DCEB-492F-A5C4-01BADB5CC563}"/>
    <hyperlink ref="K9" r:id="rId11" display="nithil@salukimedia.com" xr:uid="{D1F6DE51-AADA-412B-BFCA-E9EFA772E27C}"/>
    <hyperlink ref="K6" r:id="rId12" display="nithil@salukimedia.com" xr:uid="{6000E1C9-4A6B-4FCC-AAEA-7C3D144DE380}"/>
    <hyperlink ref="I43" r:id="rId13" xr:uid="{CE883482-204F-4913-9E9F-A6B0FFDD9621}"/>
    <hyperlink ref="I27" r:id="rId14" xr:uid="{0AB3D70E-1ACB-4873-99A0-C2D4135B00BD}"/>
    <hyperlink ref="I29" r:id="rId15" xr:uid="{50914061-093E-4789-A811-EF1872CEA166}"/>
    <hyperlink ref="I33" r:id="rId16" xr:uid="{D24097A7-464E-48EC-9440-BEAD6EC8D9AC}"/>
    <hyperlink ref="I41" r:id="rId17" xr:uid="{198AABFD-0084-4E62-87DB-69FA140E5916}"/>
    <hyperlink ref="J41" r:id="rId18" xr:uid="{3C622377-C170-46C0-AFF1-BAB31FC729B8}"/>
    <hyperlink ref="I42" r:id="rId19" xr:uid="{8D64C8D6-3A65-417E-B24F-A627612C532D}"/>
    <hyperlink ref="K10" r:id="rId20" display="nithil@salukimedia.com" xr:uid="{DEB6A2BB-9D8E-432B-B6C6-44A8DD3B343F}"/>
    <hyperlink ref="K11" r:id="rId21" display="nithil@salukimedia.com" xr:uid="{B6AA1A5B-830A-4DC2-8F95-351CE449C61D}"/>
    <hyperlink ref="K22" r:id="rId22" display="nithil@salukimedia.com" xr:uid="{3DF99F5D-C502-4B55-93CD-D1A003944474}"/>
    <hyperlink ref="K50" r:id="rId23" display="nithil@salukimedia.com" xr:uid="{42768021-26D6-4367-9157-C4924632FCF9}"/>
    <hyperlink ref="K43" r:id="rId24" display="nithil@salukimedia.com" xr:uid="{039B491F-E088-4648-9020-C59742AC16D1}"/>
    <hyperlink ref="K29" r:id="rId25" display="nithil@salukimedia.com" xr:uid="{6C14D6EA-AB73-4FB3-AE32-2BD638F3F578}"/>
    <hyperlink ref="K34" r:id="rId26" display="nithil@salukimedia.com" xr:uid="{C7C1CB68-8E59-4B01-86D6-98401DF082F2}"/>
    <hyperlink ref="K32" r:id="rId27" display="nithil@salukimedia.com" xr:uid="{C086295D-12DA-4917-BA64-6F28426B834E}"/>
    <hyperlink ref="K39" r:id="rId28" display="nithil@salukimedia.com" xr:uid="{BFAC353F-3FAD-41FC-B643-DCC0F3155FD7}"/>
    <hyperlink ref="K45" r:id="rId29" display="nithil@salukimedia.com" xr:uid="{783F206F-CC16-485B-A34F-343ED1EA130B}"/>
    <hyperlink ref="K18" r:id="rId30" display="nithil@salukimedia.com" xr:uid="{1341D037-5E0F-4B37-9F5C-502A37BFB347}"/>
    <hyperlink ref="K20" r:id="rId31" display="nithil@salukimedia.com" xr:uid="{507900FB-FD2D-4384-AD13-A68F09B06131}"/>
    <hyperlink ref="K14" r:id="rId32" display="nithil@salukimedia.com" xr:uid="{DEABCBA1-9025-4E9D-942C-66B356F48755}"/>
    <hyperlink ref="K16" r:id="rId33" display="nithil@salukimedia.com" xr:uid="{0C3D843C-3C2B-4927-B3F1-C0EFFA972465}"/>
    <hyperlink ref="K17" r:id="rId34" display="nithil@salukimedia.com" xr:uid="{51BD4A32-CF91-4794-AE5C-313F30F53662}"/>
    <hyperlink ref="K27" r:id="rId35" display="nithil@salukimedia.com" xr:uid="{63B408D1-32CC-4C2E-9880-CCDB93EFD7F8}"/>
    <hyperlink ref="K36" r:id="rId36" display="nithil@salukimedia.com" xr:uid="{63CC2BA3-ADFF-414D-902C-28BFB6F5183B}"/>
    <hyperlink ref="K35" r:id="rId37" display="nithil@salukimedia.com" xr:uid="{169E7CF6-9CFC-4DCB-AC4C-7A4E572EA5FF}"/>
    <hyperlink ref="K38" r:id="rId38" display="nithil@salukimedia.com" xr:uid="{24799C98-8D6D-403B-927E-4A6D20E991C6}"/>
    <hyperlink ref="K42" r:id="rId39" display="nithil@salukimedia.com" xr:uid="{B327D933-9D1B-4184-B9E6-8B4B5C484B6E}"/>
    <hyperlink ref="K47" r:id="rId40" display="nithil@salukimedia.com" xr:uid="{D09B2A81-E67B-40E6-A55C-AB13593987BC}"/>
    <hyperlink ref="K54" r:id="rId41" display="nithil@salukimedia.com" xr:uid="{91CAD257-9671-4409-8B09-4CAC4405EEA3}"/>
    <hyperlink ref="K12" r:id="rId42" display="nithil@salukimedia.com" xr:uid="{8C021B0D-E616-44C1-A0B0-B47732D747D2}"/>
    <hyperlink ref="K51" r:id="rId43" display="nithil@salukimedia.com" xr:uid="{C768D4AB-2FF6-41A8-88EB-6934135484B3}"/>
    <hyperlink ref="K64" r:id="rId44" display="nithil@salukimedia.com" xr:uid="{1F580DDF-9225-43BB-9D09-DCD12FDFFCBF}"/>
    <hyperlink ref="K53" r:id="rId45" display="nithil@salukimedia.com" xr:uid="{C0238DDC-E978-4E90-9198-3956BB581F12}"/>
    <hyperlink ref="A1" r:id="rId46" display="nithil@salukimedia.com" xr:uid="{066AEF65-0027-4DD1-BF59-0D753B84FA64}"/>
    <hyperlink ref="K28" r:id="rId47" display="nithil@salukimedia.com" xr:uid="{53892F81-653F-42C5-B36B-A1D248D92543}"/>
    <hyperlink ref="K60" r:id="rId48" display="nithil@salukimedia.com" xr:uid="{9E2675C7-B5F5-4CC1-B975-F9BA2A2B3AAF}"/>
    <hyperlink ref="K52" r:id="rId49" display="nithil@salukimedia.com" xr:uid="{36B29C5C-C31D-4C92-BCB6-F575D03BE1FD}"/>
    <hyperlink ref="K44" r:id="rId50" display="nithil@salukimedia.com" xr:uid="{5EB62E64-0EB1-48C9-B8DE-5DBE4FBDE91D}"/>
    <hyperlink ref="K58" r:id="rId51" display="nithil@salukimedia.com" xr:uid="{C66F2FBF-5E35-40BA-A8E6-0B6C78F72B53}"/>
    <hyperlink ref="K63" r:id="rId52" display="nithil@salukimedia.com" xr:uid="{8D07ECF0-DB73-4091-BEA8-A5CA7F3FA565}"/>
    <hyperlink ref="K75" r:id="rId53" display="nithil@salukimedia.com" xr:uid="{5F845A43-DB2F-4513-AC04-C7F88F68E823}"/>
    <hyperlink ref="K61" r:id="rId54" display="nithil@salukimedia.com" xr:uid="{4C1E6C7E-5C66-4FEC-98AB-D9096C3544E7}"/>
    <hyperlink ref="K74" r:id="rId55" display="nithil@salukimedia.com" xr:uid="{7AC88B02-FFB8-4886-9C28-26A488963D5A}"/>
    <hyperlink ref="K66" r:id="rId56" display="nithil@salukimedia.com" xr:uid="{CFC038E9-5DD1-4EE4-9645-2351E38A19FA}"/>
    <hyperlink ref="K77" r:id="rId57" display="nithil@salukimedia.com" xr:uid="{82D9D829-0712-4623-8453-AEE4BFF5AD3F}"/>
    <hyperlink ref="K68" r:id="rId58" display="nithil@salukimedia.com" xr:uid="{785EBD1D-7CBB-4A9B-A21E-050C880175D8}"/>
    <hyperlink ref="K79" r:id="rId59" display="nithil@salukimedia.com" xr:uid="{1B2B2219-B523-4464-B214-DEBFBC70E08F}"/>
    <hyperlink ref="K70" r:id="rId60" display="nithil@salukimedia.com" xr:uid="{11955E7E-A806-400A-8A04-F1E344232925}"/>
    <hyperlink ref="K72" r:id="rId61" display="nithil@salukimedia.com" xr:uid="{3E4AD3C0-972A-4B6F-8BEA-D47DDB0773B2}"/>
    <hyperlink ref="K65" r:id="rId62" display="nithil@salukimedia.com" xr:uid="{25BB9C1A-DA4A-4BBA-91D4-883ABCD61DDB}"/>
    <hyperlink ref="K76" r:id="rId63" display="nithil@salukimedia.com" xr:uid="{8ADF7DCE-516C-4D7E-8073-4E2D94815DE9}"/>
    <hyperlink ref="K67" r:id="rId64" display="nithil@salukimedia.com" xr:uid="{DE3B5BB5-B69B-4904-9DFF-D5F8E160956F}"/>
    <hyperlink ref="K78" r:id="rId65" display="nithil@salukimedia.com" xr:uid="{80412027-ACDF-45B3-892B-3B45BC48E751}"/>
    <hyperlink ref="K69" r:id="rId66" display="nithil@salukimedia.com" xr:uid="{70D44F41-4EE9-4856-8AB1-40AE00F519D6}"/>
    <hyperlink ref="K71" r:id="rId67" display="nithil@salukimedia.com" xr:uid="{D4E1B5D7-D7FC-4236-8B36-1280949FAE3D}"/>
    <hyperlink ref="K73" r:id="rId68" display="nithil@salukimedia.com" xr:uid="{65841943-C016-4935-87B6-48A3A24EEE11}"/>
    <hyperlink ref="I66" r:id="rId69" xr:uid="{CD3CA5AB-946C-4DF9-A89F-B90A5EF2E076}"/>
  </hyperlinks>
  <pageMargins left="0.7" right="0.7" top="0.75" bottom="0.75" header="0.3" footer="0.3"/>
  <tableParts count="2">
    <tablePart r:id="rId70"/>
    <tablePart r:id="rId7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E1571A-5795-45C8-BB54-FF116158C01F}">
  <sheetPr codeName="Sheet4"/>
  <dimension ref="B1:E621"/>
  <sheetViews>
    <sheetView topLeftCell="A2" workbookViewId="0">
      <selection activeCell="D8" sqref="D8"/>
    </sheetView>
  </sheetViews>
  <sheetFormatPr defaultRowHeight="15"/>
  <cols>
    <col min="4" max="4" width="45.7109375" customWidth="1"/>
    <col min="5" max="5" width="18.28515625" customWidth="1"/>
  </cols>
  <sheetData>
    <row r="1" spans="2:5" hidden="1">
      <c r="B1" t="s">
        <v>1113</v>
      </c>
    </row>
    <row r="5" spans="2:5">
      <c r="E5" s="198" t="s">
        <v>1025</v>
      </c>
    </row>
    <row r="6" spans="2:5">
      <c r="E6" s="198"/>
    </row>
    <row r="7" spans="2:5">
      <c r="D7" s="87" t="str" cm="1">
        <f t="array" ref="D7:E8">_xlfn._xlws.FILTER(PRICELIST[],ISNUMBER(SEARCH($B$1,PRICELIST[ROLES]))=TRUE,"none")</f>
        <v>Canon RF 5.2mm f/2.8 L Dual Fisheye 3D VR Lens</v>
      </c>
      <c r="E7" s="87">
        <v>750</v>
      </c>
    </row>
    <row r="8" spans="2:5">
      <c r="D8" s="87" t="str">
        <v>Visual Effects Animator 3D</v>
      </c>
      <c r="E8" s="87">
        <v>2000</v>
      </c>
    </row>
    <row r="9" spans="2:5">
      <c r="D9" s="87"/>
      <c r="E9" s="87"/>
    </row>
    <row r="10" spans="2:5">
      <c r="D10" s="87"/>
      <c r="E10" s="87"/>
    </row>
    <row r="11" spans="2:5">
      <c r="D11" s="87"/>
      <c r="E11" s="87"/>
    </row>
    <row r="12" spans="2:5">
      <c r="D12" s="87"/>
      <c r="E12" s="87"/>
    </row>
    <row r="13" spans="2:5">
      <c r="D13" s="87"/>
      <c r="E13" s="87"/>
    </row>
    <row r="14" spans="2:5">
      <c r="D14" s="87"/>
      <c r="E14" s="87"/>
    </row>
    <row r="15" spans="2:5">
      <c r="D15" s="87"/>
      <c r="E15" s="87"/>
    </row>
    <row r="16" spans="2:5">
      <c r="D16" s="87"/>
      <c r="E16" s="87"/>
    </row>
    <row r="17" spans="4:5">
      <c r="D17" s="87"/>
      <c r="E17" s="87"/>
    </row>
    <row r="18" spans="4:5">
      <c r="D18" s="87"/>
      <c r="E18" s="87"/>
    </row>
    <row r="19" spans="4:5">
      <c r="D19" s="87"/>
      <c r="E19" s="87"/>
    </row>
    <row r="20" spans="4:5">
      <c r="D20" s="87"/>
      <c r="E20" s="87"/>
    </row>
    <row r="21" spans="4:5">
      <c r="D21" s="87"/>
      <c r="E21" s="87"/>
    </row>
    <row r="22" spans="4:5">
      <c r="D22" s="87"/>
      <c r="E22" s="87"/>
    </row>
    <row r="23" spans="4:5">
      <c r="D23" s="87"/>
      <c r="E23" s="87"/>
    </row>
    <row r="24" spans="4:5">
      <c r="D24" s="87"/>
      <c r="E24" s="87"/>
    </row>
    <row r="25" spans="4:5">
      <c r="D25" s="87"/>
      <c r="E25" s="87"/>
    </row>
    <row r="26" spans="4:5">
      <c r="D26" s="87"/>
      <c r="E26" s="87"/>
    </row>
    <row r="27" spans="4:5">
      <c r="D27" s="87"/>
      <c r="E27" s="87"/>
    </row>
    <row r="28" spans="4:5">
      <c r="D28" s="87"/>
      <c r="E28" s="87"/>
    </row>
    <row r="29" spans="4:5">
      <c r="D29" s="87"/>
      <c r="E29" s="87"/>
    </row>
    <row r="30" spans="4:5">
      <c r="D30" s="87"/>
      <c r="E30" s="87"/>
    </row>
    <row r="31" spans="4:5">
      <c r="D31" s="87"/>
      <c r="E31" s="87"/>
    </row>
    <row r="32" spans="4:5">
      <c r="D32" s="87"/>
      <c r="E32" s="87"/>
    </row>
    <row r="33" spans="4:5">
      <c r="D33" s="87"/>
      <c r="E33" s="87"/>
    </row>
    <row r="34" spans="4:5">
      <c r="D34" s="87"/>
      <c r="E34" s="87"/>
    </row>
    <row r="35" spans="4:5">
      <c r="D35" s="87"/>
      <c r="E35" s="87"/>
    </row>
    <row r="36" spans="4:5">
      <c r="D36" s="87"/>
      <c r="E36" s="87"/>
    </row>
    <row r="37" spans="4:5">
      <c r="D37" s="87"/>
      <c r="E37" s="87"/>
    </row>
    <row r="38" spans="4:5">
      <c r="D38" s="87"/>
      <c r="E38" s="87"/>
    </row>
    <row r="39" spans="4:5">
      <c r="D39" s="87"/>
      <c r="E39" s="87"/>
    </row>
    <row r="40" spans="4:5">
      <c r="D40" s="87"/>
      <c r="E40" s="87"/>
    </row>
    <row r="41" spans="4:5">
      <c r="D41" s="87"/>
      <c r="E41" s="87"/>
    </row>
    <row r="42" spans="4:5">
      <c r="D42" s="87"/>
      <c r="E42" s="87"/>
    </row>
    <row r="43" spans="4:5">
      <c r="D43" s="87"/>
      <c r="E43" s="87"/>
    </row>
    <row r="44" spans="4:5">
      <c r="D44" s="87"/>
      <c r="E44" s="87"/>
    </row>
    <row r="45" spans="4:5">
      <c r="D45" s="87"/>
      <c r="E45" s="87"/>
    </row>
    <row r="46" spans="4:5">
      <c r="D46" s="87"/>
      <c r="E46" s="87"/>
    </row>
    <row r="47" spans="4:5">
      <c r="D47" s="87"/>
      <c r="E47" s="87"/>
    </row>
    <row r="48" spans="4:5">
      <c r="D48" s="87"/>
      <c r="E48" s="87"/>
    </row>
    <row r="49" spans="4:5">
      <c r="D49" s="87"/>
      <c r="E49" s="87"/>
    </row>
    <row r="50" spans="4:5">
      <c r="D50" s="87"/>
      <c r="E50" s="87"/>
    </row>
    <row r="51" spans="4:5">
      <c r="D51" s="87"/>
      <c r="E51" s="87"/>
    </row>
    <row r="52" spans="4:5">
      <c r="D52" s="87"/>
      <c r="E52" s="87"/>
    </row>
    <row r="53" spans="4:5">
      <c r="D53" s="87"/>
      <c r="E53" s="87"/>
    </row>
    <row r="54" spans="4:5">
      <c r="D54" s="87"/>
      <c r="E54" s="87"/>
    </row>
    <row r="55" spans="4:5">
      <c r="D55" s="87"/>
      <c r="E55" s="87"/>
    </row>
    <row r="56" spans="4:5">
      <c r="D56" s="87"/>
      <c r="E56" s="87"/>
    </row>
    <row r="57" spans="4:5">
      <c r="D57" s="87"/>
      <c r="E57" s="87"/>
    </row>
    <row r="58" spans="4:5">
      <c r="D58" s="87"/>
      <c r="E58" s="87"/>
    </row>
    <row r="59" spans="4:5">
      <c r="D59" s="87"/>
      <c r="E59" s="87"/>
    </row>
    <row r="60" spans="4:5">
      <c r="D60" s="87"/>
      <c r="E60" s="87"/>
    </row>
    <row r="61" spans="4:5">
      <c r="D61" s="87"/>
      <c r="E61" s="87"/>
    </row>
    <row r="62" spans="4:5">
      <c r="D62" s="87"/>
      <c r="E62" s="87"/>
    </row>
    <row r="63" spans="4:5">
      <c r="D63" s="87"/>
      <c r="E63" s="87"/>
    </row>
    <row r="64" spans="4:5">
      <c r="D64" s="87"/>
      <c r="E64" s="87"/>
    </row>
    <row r="65" spans="4:5">
      <c r="D65" s="87"/>
      <c r="E65" s="87"/>
    </row>
    <row r="66" spans="4:5">
      <c r="D66" s="87"/>
      <c r="E66" s="87"/>
    </row>
    <row r="67" spans="4:5">
      <c r="D67" s="87"/>
      <c r="E67" s="87"/>
    </row>
    <row r="68" spans="4:5">
      <c r="D68" s="87"/>
      <c r="E68" s="87"/>
    </row>
    <row r="69" spans="4:5">
      <c r="D69" s="87"/>
      <c r="E69" s="87"/>
    </row>
    <row r="70" spans="4:5">
      <c r="D70" s="87"/>
      <c r="E70" s="87"/>
    </row>
    <row r="71" spans="4:5">
      <c r="D71" s="87"/>
      <c r="E71" s="87"/>
    </row>
    <row r="72" spans="4:5">
      <c r="D72" s="87"/>
      <c r="E72" s="87"/>
    </row>
    <row r="73" spans="4:5">
      <c r="D73" s="87"/>
      <c r="E73" s="87"/>
    </row>
    <row r="74" spans="4:5">
      <c r="D74" s="87"/>
      <c r="E74" s="87"/>
    </row>
    <row r="75" spans="4:5">
      <c r="D75" s="87"/>
      <c r="E75" s="87"/>
    </row>
    <row r="76" spans="4:5">
      <c r="D76" s="87"/>
      <c r="E76" s="87"/>
    </row>
    <row r="77" spans="4:5">
      <c r="D77" s="87"/>
      <c r="E77" s="87"/>
    </row>
    <row r="78" spans="4:5">
      <c r="D78" s="87"/>
      <c r="E78" s="87"/>
    </row>
    <row r="79" spans="4:5">
      <c r="D79" s="87"/>
      <c r="E79" s="87"/>
    </row>
    <row r="80" spans="4:5">
      <c r="D80" s="87"/>
      <c r="E80" s="87"/>
    </row>
    <row r="81" spans="4:5">
      <c r="D81" s="87"/>
      <c r="E81" s="87"/>
    </row>
    <row r="82" spans="4:5">
      <c r="D82" s="87"/>
      <c r="E82" s="87"/>
    </row>
    <row r="83" spans="4:5">
      <c r="D83" s="87"/>
      <c r="E83" s="87"/>
    </row>
    <row r="84" spans="4:5">
      <c r="D84" s="87"/>
      <c r="E84" s="87"/>
    </row>
    <row r="85" spans="4:5">
      <c r="D85" s="87"/>
      <c r="E85" s="87"/>
    </row>
    <row r="86" spans="4:5">
      <c r="D86" s="87"/>
      <c r="E86" s="87"/>
    </row>
    <row r="87" spans="4:5">
      <c r="D87" s="87"/>
      <c r="E87" s="87"/>
    </row>
    <row r="88" spans="4:5">
      <c r="D88" s="87"/>
      <c r="E88" s="87"/>
    </row>
    <row r="89" spans="4:5">
      <c r="D89" s="87"/>
      <c r="E89" s="87"/>
    </row>
    <row r="90" spans="4:5">
      <c r="D90" s="87"/>
      <c r="E90" s="87"/>
    </row>
    <row r="91" spans="4:5">
      <c r="D91" s="87"/>
      <c r="E91" s="87"/>
    </row>
    <row r="92" spans="4:5">
      <c r="D92" s="87"/>
      <c r="E92" s="87"/>
    </row>
    <row r="93" spans="4:5">
      <c r="D93" s="87"/>
      <c r="E93" s="87"/>
    </row>
    <row r="94" spans="4:5">
      <c r="D94" s="87"/>
      <c r="E94" s="87"/>
    </row>
    <row r="95" spans="4:5">
      <c r="D95" s="87"/>
      <c r="E95" s="87"/>
    </row>
    <row r="96" spans="4:5">
      <c r="D96" s="87"/>
      <c r="E96" s="87"/>
    </row>
    <row r="97" spans="4:5">
      <c r="D97" s="87"/>
      <c r="E97" s="87"/>
    </row>
    <row r="98" spans="4:5">
      <c r="D98" s="87"/>
      <c r="E98" s="87"/>
    </row>
    <row r="99" spans="4:5">
      <c r="D99" s="87"/>
      <c r="E99" s="87"/>
    </row>
    <row r="100" spans="4:5">
      <c r="D100" s="87"/>
      <c r="E100" s="87"/>
    </row>
    <row r="101" spans="4:5">
      <c r="D101" s="87"/>
      <c r="E101" s="87"/>
    </row>
    <row r="102" spans="4:5">
      <c r="D102" s="87"/>
      <c r="E102" s="87"/>
    </row>
    <row r="103" spans="4:5">
      <c r="D103" s="87"/>
      <c r="E103" s="87"/>
    </row>
    <row r="104" spans="4:5">
      <c r="D104" s="87"/>
      <c r="E104" s="87"/>
    </row>
    <row r="105" spans="4:5">
      <c r="D105" s="87"/>
      <c r="E105" s="87"/>
    </row>
    <row r="106" spans="4:5">
      <c r="D106" s="87"/>
      <c r="E106" s="87"/>
    </row>
    <row r="107" spans="4:5">
      <c r="D107" s="87"/>
      <c r="E107" s="87"/>
    </row>
    <row r="108" spans="4:5">
      <c r="D108" s="87"/>
      <c r="E108" s="87"/>
    </row>
    <row r="109" spans="4:5">
      <c r="D109" s="87"/>
      <c r="E109" s="87"/>
    </row>
    <row r="110" spans="4:5">
      <c r="D110" s="87"/>
      <c r="E110" s="87"/>
    </row>
    <row r="111" spans="4:5">
      <c r="D111" s="87"/>
      <c r="E111" s="87"/>
    </row>
    <row r="112" spans="4:5">
      <c r="D112" s="87"/>
      <c r="E112" s="87"/>
    </row>
    <row r="113" spans="4:5">
      <c r="D113" s="87"/>
      <c r="E113" s="87"/>
    </row>
    <row r="114" spans="4:5">
      <c r="D114" s="87"/>
      <c r="E114" s="87"/>
    </row>
    <row r="115" spans="4:5">
      <c r="D115" s="87"/>
      <c r="E115" s="87"/>
    </row>
    <row r="116" spans="4:5">
      <c r="D116" s="87"/>
      <c r="E116" s="87"/>
    </row>
    <row r="117" spans="4:5">
      <c r="D117" s="87"/>
      <c r="E117" s="87"/>
    </row>
    <row r="118" spans="4:5">
      <c r="D118" s="87"/>
      <c r="E118" s="87"/>
    </row>
    <row r="119" spans="4:5">
      <c r="D119" s="87"/>
      <c r="E119" s="87"/>
    </row>
    <row r="120" spans="4:5">
      <c r="D120" s="87"/>
      <c r="E120" s="87"/>
    </row>
    <row r="121" spans="4:5">
      <c r="D121" s="87"/>
      <c r="E121" s="87"/>
    </row>
    <row r="122" spans="4:5">
      <c r="D122" s="87"/>
      <c r="E122" s="87"/>
    </row>
    <row r="123" spans="4:5">
      <c r="D123" s="87"/>
      <c r="E123" s="87"/>
    </row>
    <row r="124" spans="4:5">
      <c r="D124" s="87"/>
      <c r="E124" s="87"/>
    </row>
    <row r="125" spans="4:5">
      <c r="D125" s="87"/>
      <c r="E125" s="87"/>
    </row>
    <row r="126" spans="4:5">
      <c r="D126" s="87"/>
      <c r="E126" s="87"/>
    </row>
    <row r="127" spans="4:5">
      <c r="D127" s="87"/>
      <c r="E127" s="87"/>
    </row>
    <row r="128" spans="4:5">
      <c r="D128" s="87"/>
      <c r="E128" s="87"/>
    </row>
    <row r="129" spans="4:5">
      <c r="D129" s="87"/>
      <c r="E129" s="87"/>
    </row>
    <row r="130" spans="4:5">
      <c r="D130" s="87"/>
      <c r="E130" s="87"/>
    </row>
    <row r="131" spans="4:5">
      <c r="D131" s="87"/>
      <c r="E131" s="87"/>
    </row>
    <row r="132" spans="4:5">
      <c r="D132" s="87"/>
      <c r="E132" s="87"/>
    </row>
    <row r="133" spans="4:5">
      <c r="D133" s="87"/>
      <c r="E133" s="87"/>
    </row>
    <row r="134" spans="4:5">
      <c r="D134" s="87"/>
      <c r="E134" s="87"/>
    </row>
    <row r="135" spans="4:5">
      <c r="D135" s="87"/>
      <c r="E135" s="87"/>
    </row>
    <row r="136" spans="4:5">
      <c r="D136" s="87"/>
      <c r="E136" s="87"/>
    </row>
    <row r="137" spans="4:5">
      <c r="D137" s="87"/>
      <c r="E137" s="87"/>
    </row>
    <row r="138" spans="4:5">
      <c r="D138" s="87"/>
      <c r="E138" s="87"/>
    </row>
    <row r="139" spans="4:5">
      <c r="D139" s="87"/>
      <c r="E139" s="87"/>
    </row>
    <row r="140" spans="4:5">
      <c r="D140" s="87"/>
      <c r="E140" s="87"/>
    </row>
    <row r="141" spans="4:5">
      <c r="D141" s="87"/>
      <c r="E141" s="87"/>
    </row>
    <row r="142" spans="4:5">
      <c r="D142" s="87"/>
      <c r="E142" s="87"/>
    </row>
    <row r="143" spans="4:5">
      <c r="D143" s="87"/>
      <c r="E143" s="87"/>
    </row>
    <row r="144" spans="4:5">
      <c r="D144" s="87"/>
      <c r="E144" s="87"/>
    </row>
    <row r="145" spans="4:5">
      <c r="D145" s="87"/>
      <c r="E145" s="87"/>
    </row>
    <row r="146" spans="4:5">
      <c r="D146" s="87"/>
      <c r="E146" s="87"/>
    </row>
    <row r="147" spans="4:5">
      <c r="D147" s="87"/>
      <c r="E147" s="87"/>
    </row>
    <row r="148" spans="4:5">
      <c r="D148" s="87"/>
      <c r="E148" s="87"/>
    </row>
    <row r="149" spans="4:5">
      <c r="D149" s="87"/>
      <c r="E149" s="87"/>
    </row>
    <row r="150" spans="4:5">
      <c r="D150" s="87"/>
      <c r="E150" s="87"/>
    </row>
    <row r="151" spans="4:5">
      <c r="D151" s="87"/>
      <c r="E151" s="87"/>
    </row>
    <row r="152" spans="4:5">
      <c r="D152" s="87"/>
      <c r="E152" s="87"/>
    </row>
    <row r="153" spans="4:5">
      <c r="D153" s="87"/>
      <c r="E153" s="87"/>
    </row>
    <row r="154" spans="4:5">
      <c r="D154" s="87"/>
      <c r="E154" s="87"/>
    </row>
    <row r="155" spans="4:5">
      <c r="D155" s="87"/>
      <c r="E155" s="87"/>
    </row>
    <row r="156" spans="4:5">
      <c r="D156" s="87"/>
      <c r="E156" s="87"/>
    </row>
    <row r="157" spans="4:5">
      <c r="D157" s="87"/>
      <c r="E157" s="87"/>
    </row>
    <row r="158" spans="4:5">
      <c r="D158" s="87"/>
      <c r="E158" s="87"/>
    </row>
    <row r="159" spans="4:5">
      <c r="D159" s="87"/>
      <c r="E159" s="87"/>
    </row>
    <row r="160" spans="4:5">
      <c r="D160" s="87"/>
      <c r="E160" s="87"/>
    </row>
    <row r="161" spans="4:5">
      <c r="D161" s="87"/>
      <c r="E161" s="87"/>
    </row>
    <row r="162" spans="4:5">
      <c r="D162" s="87"/>
      <c r="E162" s="87"/>
    </row>
    <row r="163" spans="4:5">
      <c r="D163" s="87"/>
      <c r="E163" s="87"/>
    </row>
    <row r="164" spans="4:5">
      <c r="D164" s="87"/>
      <c r="E164" s="87"/>
    </row>
    <row r="165" spans="4:5">
      <c r="D165" s="87"/>
      <c r="E165" s="87"/>
    </row>
    <row r="166" spans="4:5">
      <c r="D166" s="87"/>
      <c r="E166" s="87"/>
    </row>
    <row r="167" spans="4:5">
      <c r="D167" s="87"/>
      <c r="E167" s="87"/>
    </row>
    <row r="168" spans="4:5">
      <c r="D168" s="87"/>
      <c r="E168" s="87"/>
    </row>
    <row r="169" spans="4:5">
      <c r="D169" s="87"/>
      <c r="E169" s="87"/>
    </row>
    <row r="170" spans="4:5">
      <c r="D170" s="87"/>
      <c r="E170" s="87"/>
    </row>
    <row r="171" spans="4:5">
      <c r="D171" s="87"/>
      <c r="E171" s="87"/>
    </row>
    <row r="172" spans="4:5">
      <c r="D172" s="87"/>
      <c r="E172" s="87"/>
    </row>
    <row r="173" spans="4:5">
      <c r="D173" s="87"/>
      <c r="E173" s="87"/>
    </row>
    <row r="174" spans="4:5">
      <c r="D174" s="87"/>
      <c r="E174" s="87"/>
    </row>
    <row r="175" spans="4:5">
      <c r="D175" s="87"/>
      <c r="E175" s="87"/>
    </row>
    <row r="176" spans="4:5">
      <c r="D176" s="87"/>
      <c r="E176" s="87"/>
    </row>
    <row r="177" spans="4:5">
      <c r="D177" s="87"/>
      <c r="E177" s="87"/>
    </row>
    <row r="178" spans="4:5">
      <c r="D178" s="87"/>
      <c r="E178" s="87"/>
    </row>
    <row r="179" spans="4:5">
      <c r="D179" s="87"/>
      <c r="E179" s="87"/>
    </row>
    <row r="180" spans="4:5">
      <c r="D180" s="87"/>
      <c r="E180" s="87"/>
    </row>
    <row r="181" spans="4:5">
      <c r="D181" s="87"/>
      <c r="E181" s="87"/>
    </row>
    <row r="182" spans="4:5">
      <c r="D182" s="87"/>
      <c r="E182" s="87"/>
    </row>
    <row r="183" spans="4:5">
      <c r="D183" s="87"/>
      <c r="E183" s="87"/>
    </row>
    <row r="184" spans="4:5">
      <c r="D184" s="87"/>
      <c r="E184" s="87"/>
    </row>
    <row r="185" spans="4:5">
      <c r="D185" s="87"/>
      <c r="E185" s="87"/>
    </row>
    <row r="186" spans="4:5">
      <c r="D186" s="87"/>
      <c r="E186" s="87"/>
    </row>
    <row r="187" spans="4:5">
      <c r="D187" s="87"/>
      <c r="E187" s="87"/>
    </row>
    <row r="188" spans="4:5">
      <c r="D188" s="87"/>
      <c r="E188" s="87"/>
    </row>
    <row r="189" spans="4:5">
      <c r="D189" s="87"/>
      <c r="E189" s="87"/>
    </row>
    <row r="190" spans="4:5">
      <c r="D190" s="87"/>
      <c r="E190" s="87"/>
    </row>
    <row r="191" spans="4:5">
      <c r="D191" s="87"/>
      <c r="E191" s="87"/>
    </row>
    <row r="192" spans="4:5">
      <c r="D192" s="87"/>
      <c r="E192" s="87"/>
    </row>
    <row r="193" spans="4:5">
      <c r="D193" s="87"/>
      <c r="E193" s="87"/>
    </row>
    <row r="194" spans="4:5">
      <c r="D194" s="87"/>
      <c r="E194" s="87"/>
    </row>
    <row r="195" spans="4:5">
      <c r="D195" s="87"/>
      <c r="E195" s="87"/>
    </row>
    <row r="196" spans="4:5">
      <c r="D196" s="87"/>
      <c r="E196" s="87"/>
    </row>
    <row r="197" spans="4:5">
      <c r="D197" s="87"/>
      <c r="E197" s="87"/>
    </row>
    <row r="198" spans="4:5">
      <c r="D198" s="87"/>
      <c r="E198" s="87"/>
    </row>
    <row r="199" spans="4:5">
      <c r="D199" s="87"/>
      <c r="E199" s="87"/>
    </row>
    <row r="200" spans="4:5">
      <c r="D200" s="87"/>
      <c r="E200" s="87"/>
    </row>
    <row r="201" spans="4:5">
      <c r="D201" s="87"/>
      <c r="E201" s="87"/>
    </row>
    <row r="202" spans="4:5">
      <c r="D202" s="87"/>
      <c r="E202" s="87"/>
    </row>
    <row r="203" spans="4:5">
      <c r="D203" s="87"/>
      <c r="E203" s="87"/>
    </row>
    <row r="204" spans="4:5">
      <c r="D204" s="87"/>
      <c r="E204" s="87"/>
    </row>
    <row r="205" spans="4:5">
      <c r="D205" s="87"/>
      <c r="E205" s="87"/>
    </row>
    <row r="206" spans="4:5">
      <c r="D206" s="87"/>
      <c r="E206" s="87"/>
    </row>
    <row r="207" spans="4:5">
      <c r="D207" s="87"/>
      <c r="E207" s="87"/>
    </row>
    <row r="208" spans="4:5">
      <c r="D208" s="87"/>
      <c r="E208" s="87"/>
    </row>
    <row r="209" spans="4:5">
      <c r="D209" s="87"/>
      <c r="E209" s="87"/>
    </row>
    <row r="210" spans="4:5">
      <c r="D210" s="87"/>
      <c r="E210" s="87"/>
    </row>
    <row r="211" spans="4:5">
      <c r="D211" s="87"/>
      <c r="E211" s="87"/>
    </row>
    <row r="212" spans="4:5">
      <c r="D212" s="87"/>
      <c r="E212" s="87"/>
    </row>
    <row r="213" spans="4:5">
      <c r="D213" s="87"/>
      <c r="E213" s="87"/>
    </row>
    <row r="214" spans="4:5">
      <c r="D214" s="87"/>
      <c r="E214" s="87"/>
    </row>
    <row r="215" spans="4:5">
      <c r="D215" s="87"/>
      <c r="E215" s="87"/>
    </row>
    <row r="216" spans="4:5">
      <c r="D216" s="87"/>
      <c r="E216" s="87"/>
    </row>
    <row r="217" spans="4:5">
      <c r="D217" s="87"/>
      <c r="E217" s="87"/>
    </row>
    <row r="218" spans="4:5">
      <c r="D218" s="87"/>
      <c r="E218" s="87"/>
    </row>
    <row r="219" spans="4:5">
      <c r="D219" s="87"/>
      <c r="E219" s="87"/>
    </row>
    <row r="220" spans="4:5">
      <c r="D220" s="87"/>
      <c r="E220" s="87"/>
    </row>
    <row r="221" spans="4:5">
      <c r="D221" s="87"/>
      <c r="E221" s="87"/>
    </row>
    <row r="222" spans="4:5">
      <c r="D222" s="87"/>
      <c r="E222" s="87"/>
    </row>
    <row r="223" spans="4:5">
      <c r="D223" s="87"/>
      <c r="E223" s="87"/>
    </row>
    <row r="224" spans="4:5">
      <c r="D224" s="87"/>
      <c r="E224" s="87"/>
    </row>
    <row r="225" spans="4:5">
      <c r="D225" s="87"/>
      <c r="E225" s="87"/>
    </row>
    <row r="226" spans="4:5">
      <c r="D226" s="87"/>
      <c r="E226" s="87"/>
    </row>
    <row r="227" spans="4:5">
      <c r="D227" s="87"/>
      <c r="E227" s="87"/>
    </row>
    <row r="228" spans="4:5">
      <c r="D228" s="87"/>
      <c r="E228" s="87"/>
    </row>
    <row r="229" spans="4:5">
      <c r="D229" s="87"/>
      <c r="E229" s="87"/>
    </row>
    <row r="230" spans="4:5">
      <c r="D230" s="87"/>
      <c r="E230" s="87"/>
    </row>
    <row r="231" spans="4:5">
      <c r="D231" s="87"/>
      <c r="E231" s="87"/>
    </row>
    <row r="232" spans="4:5">
      <c r="D232" s="87"/>
      <c r="E232" s="87"/>
    </row>
    <row r="233" spans="4:5">
      <c r="D233" s="87"/>
      <c r="E233" s="87"/>
    </row>
    <row r="234" spans="4:5">
      <c r="D234" s="87"/>
      <c r="E234" s="87"/>
    </row>
    <row r="235" spans="4:5">
      <c r="D235" s="87"/>
      <c r="E235" s="87"/>
    </row>
    <row r="236" spans="4:5">
      <c r="D236" s="87"/>
      <c r="E236" s="87"/>
    </row>
    <row r="237" spans="4:5">
      <c r="D237" s="87"/>
      <c r="E237" s="87"/>
    </row>
    <row r="238" spans="4:5">
      <c r="D238" s="87"/>
      <c r="E238" s="87"/>
    </row>
    <row r="239" spans="4:5">
      <c r="D239" s="87"/>
      <c r="E239" s="87"/>
    </row>
    <row r="240" spans="4:5">
      <c r="D240" s="87"/>
      <c r="E240" s="87"/>
    </row>
    <row r="241" spans="4:5">
      <c r="D241" s="87"/>
      <c r="E241" s="87"/>
    </row>
    <row r="242" spans="4:5">
      <c r="D242" s="87"/>
      <c r="E242" s="87"/>
    </row>
    <row r="243" spans="4:5">
      <c r="D243" s="87"/>
      <c r="E243" s="87"/>
    </row>
    <row r="244" spans="4:5">
      <c r="D244" s="87"/>
      <c r="E244" s="87"/>
    </row>
    <row r="245" spans="4:5">
      <c r="D245" s="87"/>
      <c r="E245" s="87"/>
    </row>
    <row r="246" spans="4:5">
      <c r="D246" s="87"/>
      <c r="E246" s="87"/>
    </row>
    <row r="247" spans="4:5">
      <c r="D247" s="87"/>
      <c r="E247" s="87"/>
    </row>
    <row r="248" spans="4:5">
      <c r="D248" s="87"/>
      <c r="E248" s="87"/>
    </row>
    <row r="249" spans="4:5">
      <c r="D249" s="87"/>
      <c r="E249" s="87"/>
    </row>
    <row r="250" spans="4:5">
      <c r="D250" s="87"/>
      <c r="E250" s="87"/>
    </row>
    <row r="251" spans="4:5">
      <c r="D251" s="87"/>
      <c r="E251" s="87"/>
    </row>
    <row r="252" spans="4:5">
      <c r="D252" s="87"/>
      <c r="E252" s="87"/>
    </row>
    <row r="253" spans="4:5">
      <c r="D253" s="87"/>
      <c r="E253" s="87"/>
    </row>
    <row r="254" spans="4:5">
      <c r="D254" s="87"/>
      <c r="E254" s="87"/>
    </row>
    <row r="255" spans="4:5">
      <c r="D255" s="87"/>
      <c r="E255" s="87"/>
    </row>
    <row r="256" spans="4:5">
      <c r="D256" s="87"/>
      <c r="E256" s="87"/>
    </row>
    <row r="257" spans="4:5">
      <c r="D257" s="87"/>
      <c r="E257" s="87"/>
    </row>
    <row r="258" spans="4:5">
      <c r="D258" s="87"/>
      <c r="E258" s="87"/>
    </row>
    <row r="259" spans="4:5">
      <c r="D259" s="87"/>
      <c r="E259" s="87"/>
    </row>
    <row r="260" spans="4:5">
      <c r="D260" s="87"/>
      <c r="E260" s="87"/>
    </row>
    <row r="261" spans="4:5">
      <c r="D261" s="87"/>
      <c r="E261" s="87"/>
    </row>
    <row r="262" spans="4:5">
      <c r="D262" s="87"/>
      <c r="E262" s="87"/>
    </row>
    <row r="263" spans="4:5">
      <c r="D263" s="87"/>
      <c r="E263" s="87"/>
    </row>
    <row r="264" spans="4:5">
      <c r="D264" s="87"/>
      <c r="E264" s="87"/>
    </row>
    <row r="265" spans="4:5">
      <c r="D265" s="87"/>
      <c r="E265" s="87"/>
    </row>
    <row r="266" spans="4:5">
      <c r="D266" s="87"/>
      <c r="E266" s="87"/>
    </row>
    <row r="267" spans="4:5">
      <c r="D267" s="87"/>
      <c r="E267" s="87"/>
    </row>
    <row r="268" spans="4:5">
      <c r="D268" s="87"/>
      <c r="E268" s="87"/>
    </row>
    <row r="269" spans="4:5">
      <c r="D269" s="87"/>
      <c r="E269" s="87"/>
    </row>
    <row r="270" spans="4:5">
      <c r="D270" s="87"/>
      <c r="E270" s="87"/>
    </row>
    <row r="271" spans="4:5">
      <c r="D271" s="87"/>
      <c r="E271" s="87"/>
    </row>
    <row r="272" spans="4:5">
      <c r="D272" s="87"/>
      <c r="E272" s="87"/>
    </row>
    <row r="273" spans="4:5">
      <c r="D273" s="87"/>
      <c r="E273" s="87"/>
    </row>
    <row r="274" spans="4:5">
      <c r="D274" s="87"/>
      <c r="E274" s="87"/>
    </row>
    <row r="275" spans="4:5">
      <c r="D275" s="87"/>
      <c r="E275" s="87"/>
    </row>
    <row r="276" spans="4:5">
      <c r="D276" s="87"/>
      <c r="E276" s="87"/>
    </row>
    <row r="277" spans="4:5">
      <c r="D277" s="87"/>
      <c r="E277" s="87"/>
    </row>
    <row r="278" spans="4:5">
      <c r="D278" s="87"/>
      <c r="E278" s="87"/>
    </row>
    <row r="279" spans="4:5">
      <c r="D279" s="87"/>
      <c r="E279" s="87"/>
    </row>
    <row r="280" spans="4:5">
      <c r="D280" s="87"/>
      <c r="E280" s="87"/>
    </row>
    <row r="281" spans="4:5">
      <c r="D281" s="87"/>
      <c r="E281" s="87"/>
    </row>
    <row r="282" spans="4:5">
      <c r="D282" s="87"/>
      <c r="E282" s="87"/>
    </row>
    <row r="283" spans="4:5">
      <c r="D283" s="87"/>
      <c r="E283" s="87"/>
    </row>
    <row r="284" spans="4:5">
      <c r="D284" s="87"/>
      <c r="E284" s="87"/>
    </row>
    <row r="285" spans="4:5">
      <c r="D285" s="87"/>
      <c r="E285" s="87"/>
    </row>
    <row r="286" spans="4:5">
      <c r="D286" s="87"/>
      <c r="E286" s="87"/>
    </row>
    <row r="287" spans="4:5">
      <c r="D287" s="87"/>
      <c r="E287" s="87"/>
    </row>
    <row r="288" spans="4:5">
      <c r="D288" s="87"/>
      <c r="E288" s="87"/>
    </row>
    <row r="289" spans="4:5">
      <c r="D289" s="87"/>
      <c r="E289" s="87"/>
    </row>
    <row r="290" spans="4:5">
      <c r="D290" s="87"/>
      <c r="E290" s="87"/>
    </row>
    <row r="291" spans="4:5">
      <c r="D291" s="87"/>
      <c r="E291" s="87"/>
    </row>
    <row r="292" spans="4:5">
      <c r="D292" s="87"/>
      <c r="E292" s="87"/>
    </row>
    <row r="293" spans="4:5">
      <c r="D293" s="87"/>
      <c r="E293" s="87"/>
    </row>
    <row r="294" spans="4:5">
      <c r="D294" s="87"/>
      <c r="E294" s="87"/>
    </row>
    <row r="295" spans="4:5">
      <c r="D295" s="87"/>
      <c r="E295" s="87"/>
    </row>
    <row r="296" spans="4:5">
      <c r="D296" s="87"/>
      <c r="E296" s="87"/>
    </row>
    <row r="297" spans="4:5">
      <c r="D297" s="87"/>
      <c r="E297" s="87"/>
    </row>
    <row r="298" spans="4:5">
      <c r="D298" s="87"/>
      <c r="E298" s="87"/>
    </row>
    <row r="299" spans="4:5">
      <c r="D299" s="87"/>
      <c r="E299" s="87"/>
    </row>
    <row r="300" spans="4:5">
      <c r="D300" s="87"/>
      <c r="E300" s="87"/>
    </row>
    <row r="301" spans="4:5">
      <c r="D301" s="87"/>
      <c r="E301" s="87"/>
    </row>
    <row r="302" spans="4:5">
      <c r="D302" s="87"/>
      <c r="E302" s="87"/>
    </row>
    <row r="303" spans="4:5">
      <c r="D303" s="87"/>
      <c r="E303" s="87"/>
    </row>
    <row r="304" spans="4:5">
      <c r="D304" s="87"/>
      <c r="E304" s="87"/>
    </row>
    <row r="305" spans="4:5">
      <c r="D305" s="87"/>
      <c r="E305" s="87"/>
    </row>
    <row r="306" spans="4:5">
      <c r="D306" s="87"/>
      <c r="E306" s="87"/>
    </row>
    <row r="307" spans="4:5">
      <c r="D307" s="87"/>
      <c r="E307" s="87"/>
    </row>
    <row r="308" spans="4:5">
      <c r="D308" s="87"/>
      <c r="E308" s="87"/>
    </row>
    <row r="309" spans="4:5">
      <c r="D309" s="87"/>
      <c r="E309" s="87"/>
    </row>
    <row r="310" spans="4:5">
      <c r="D310" s="87"/>
      <c r="E310" s="87"/>
    </row>
    <row r="311" spans="4:5">
      <c r="D311" s="87"/>
      <c r="E311" s="87"/>
    </row>
    <row r="312" spans="4:5">
      <c r="D312" s="87"/>
      <c r="E312" s="87"/>
    </row>
    <row r="313" spans="4:5">
      <c r="D313" s="87"/>
      <c r="E313" s="87"/>
    </row>
    <row r="314" spans="4:5">
      <c r="D314" s="87"/>
      <c r="E314" s="87"/>
    </row>
    <row r="315" spans="4:5">
      <c r="D315" s="87"/>
      <c r="E315" s="87"/>
    </row>
    <row r="316" spans="4:5">
      <c r="D316" s="87"/>
      <c r="E316" s="87"/>
    </row>
    <row r="317" spans="4:5">
      <c r="D317" s="87"/>
      <c r="E317" s="87"/>
    </row>
    <row r="318" spans="4:5">
      <c r="D318" s="87"/>
      <c r="E318" s="87"/>
    </row>
    <row r="319" spans="4:5">
      <c r="D319" s="87"/>
      <c r="E319" s="87"/>
    </row>
    <row r="320" spans="4:5">
      <c r="D320" s="87"/>
      <c r="E320" s="87"/>
    </row>
    <row r="321" spans="4:5">
      <c r="D321" s="87"/>
      <c r="E321" s="87"/>
    </row>
    <row r="322" spans="4:5">
      <c r="D322" s="87"/>
      <c r="E322" s="87"/>
    </row>
    <row r="323" spans="4:5">
      <c r="D323" s="87"/>
      <c r="E323" s="87"/>
    </row>
    <row r="324" spans="4:5">
      <c r="D324" s="87"/>
      <c r="E324" s="87"/>
    </row>
    <row r="325" spans="4:5">
      <c r="D325" s="87"/>
      <c r="E325" s="87"/>
    </row>
    <row r="326" spans="4:5">
      <c r="D326" s="87"/>
      <c r="E326" s="87"/>
    </row>
    <row r="327" spans="4:5">
      <c r="D327" s="87"/>
      <c r="E327" s="87"/>
    </row>
    <row r="328" spans="4:5">
      <c r="D328" s="87"/>
      <c r="E328" s="87"/>
    </row>
    <row r="329" spans="4:5">
      <c r="D329" s="87"/>
      <c r="E329" s="87"/>
    </row>
    <row r="330" spans="4:5">
      <c r="D330" s="87"/>
      <c r="E330" s="87"/>
    </row>
    <row r="331" spans="4:5">
      <c r="D331" s="87"/>
      <c r="E331" s="87"/>
    </row>
    <row r="332" spans="4:5">
      <c r="D332" s="87"/>
      <c r="E332" s="87"/>
    </row>
    <row r="333" spans="4:5">
      <c r="D333" s="87"/>
      <c r="E333" s="87"/>
    </row>
    <row r="334" spans="4:5">
      <c r="D334" s="87"/>
      <c r="E334" s="87"/>
    </row>
    <row r="335" spans="4:5">
      <c r="D335" s="87"/>
      <c r="E335" s="87"/>
    </row>
    <row r="336" spans="4:5">
      <c r="D336" s="87"/>
      <c r="E336" s="87"/>
    </row>
    <row r="337" spans="4:5">
      <c r="D337" s="87"/>
      <c r="E337" s="87"/>
    </row>
    <row r="338" spans="4:5">
      <c r="D338" s="87"/>
      <c r="E338" s="87"/>
    </row>
    <row r="339" spans="4:5">
      <c r="D339" s="87"/>
      <c r="E339" s="87"/>
    </row>
    <row r="340" spans="4:5">
      <c r="D340" s="87"/>
      <c r="E340" s="87"/>
    </row>
    <row r="341" spans="4:5">
      <c r="D341" s="87"/>
      <c r="E341" s="87"/>
    </row>
    <row r="342" spans="4:5">
      <c r="D342" s="87"/>
      <c r="E342" s="87"/>
    </row>
    <row r="343" spans="4:5">
      <c r="D343" s="87"/>
      <c r="E343" s="87"/>
    </row>
    <row r="344" spans="4:5">
      <c r="D344" s="87"/>
      <c r="E344" s="87"/>
    </row>
    <row r="345" spans="4:5">
      <c r="D345" s="87"/>
      <c r="E345" s="87"/>
    </row>
    <row r="346" spans="4:5">
      <c r="D346" s="87"/>
      <c r="E346" s="87"/>
    </row>
    <row r="347" spans="4:5">
      <c r="D347" s="87"/>
      <c r="E347" s="87"/>
    </row>
    <row r="348" spans="4:5">
      <c r="D348" s="87"/>
      <c r="E348" s="87"/>
    </row>
    <row r="349" spans="4:5">
      <c r="D349" s="87"/>
      <c r="E349" s="87"/>
    </row>
    <row r="350" spans="4:5">
      <c r="D350" s="87"/>
      <c r="E350" s="87"/>
    </row>
    <row r="351" spans="4:5">
      <c r="D351" s="87"/>
      <c r="E351" s="87"/>
    </row>
    <row r="352" spans="4:5">
      <c r="D352" s="87"/>
      <c r="E352" s="87"/>
    </row>
    <row r="353" spans="4:5">
      <c r="D353" s="87"/>
      <c r="E353" s="87"/>
    </row>
    <row r="354" spans="4:5">
      <c r="D354" s="87"/>
      <c r="E354" s="87"/>
    </row>
    <row r="355" spans="4:5">
      <c r="D355" s="87"/>
      <c r="E355" s="87"/>
    </row>
    <row r="356" spans="4:5">
      <c r="D356" s="87"/>
      <c r="E356" s="87"/>
    </row>
    <row r="357" spans="4:5">
      <c r="D357" s="87"/>
      <c r="E357" s="87"/>
    </row>
    <row r="358" spans="4:5">
      <c r="D358" s="87"/>
      <c r="E358" s="87"/>
    </row>
    <row r="359" spans="4:5">
      <c r="D359" s="87"/>
      <c r="E359" s="87"/>
    </row>
    <row r="360" spans="4:5">
      <c r="D360" s="87"/>
      <c r="E360" s="87"/>
    </row>
    <row r="361" spans="4:5">
      <c r="D361" s="87"/>
      <c r="E361" s="87"/>
    </row>
    <row r="362" spans="4:5">
      <c r="D362" s="87"/>
      <c r="E362" s="87"/>
    </row>
    <row r="363" spans="4:5">
      <c r="D363" s="87"/>
      <c r="E363" s="87"/>
    </row>
    <row r="364" spans="4:5">
      <c r="D364" s="87"/>
      <c r="E364" s="87"/>
    </row>
    <row r="365" spans="4:5">
      <c r="D365" s="87"/>
      <c r="E365" s="87"/>
    </row>
    <row r="366" spans="4:5">
      <c r="D366" s="87"/>
      <c r="E366" s="87"/>
    </row>
    <row r="367" spans="4:5">
      <c r="D367" s="87"/>
      <c r="E367" s="87"/>
    </row>
    <row r="368" spans="4:5">
      <c r="D368" s="87"/>
      <c r="E368" s="87"/>
    </row>
    <row r="369" spans="4:5">
      <c r="D369" s="87"/>
      <c r="E369" s="87"/>
    </row>
    <row r="370" spans="4:5">
      <c r="D370" s="87"/>
      <c r="E370" s="87"/>
    </row>
    <row r="371" spans="4:5">
      <c r="D371" s="87"/>
      <c r="E371" s="87"/>
    </row>
    <row r="372" spans="4:5">
      <c r="D372" s="87"/>
      <c r="E372" s="87"/>
    </row>
    <row r="373" spans="4:5">
      <c r="D373" s="87"/>
      <c r="E373" s="87"/>
    </row>
    <row r="374" spans="4:5">
      <c r="D374" s="87"/>
      <c r="E374" s="87"/>
    </row>
    <row r="375" spans="4:5">
      <c r="D375" s="87"/>
      <c r="E375" s="87"/>
    </row>
    <row r="376" spans="4:5">
      <c r="D376" s="87"/>
      <c r="E376" s="87"/>
    </row>
    <row r="377" spans="4:5">
      <c r="D377" s="87"/>
      <c r="E377" s="87"/>
    </row>
    <row r="378" spans="4:5">
      <c r="D378" s="87"/>
      <c r="E378" s="87"/>
    </row>
    <row r="379" spans="4:5">
      <c r="D379" s="87"/>
      <c r="E379" s="87"/>
    </row>
    <row r="380" spans="4:5">
      <c r="D380" s="87"/>
      <c r="E380" s="87"/>
    </row>
    <row r="381" spans="4:5">
      <c r="D381" s="87"/>
      <c r="E381" s="87"/>
    </row>
    <row r="382" spans="4:5">
      <c r="D382" s="87"/>
      <c r="E382" s="87"/>
    </row>
    <row r="383" spans="4:5">
      <c r="D383" s="87"/>
      <c r="E383" s="87"/>
    </row>
    <row r="384" spans="4:5">
      <c r="D384" s="87"/>
      <c r="E384" s="87"/>
    </row>
    <row r="385" spans="4:5">
      <c r="D385" s="87"/>
      <c r="E385" s="87"/>
    </row>
    <row r="386" spans="4:5">
      <c r="D386" s="87"/>
      <c r="E386" s="87"/>
    </row>
    <row r="387" spans="4:5">
      <c r="D387" s="87"/>
      <c r="E387" s="87"/>
    </row>
    <row r="388" spans="4:5">
      <c r="D388" s="87"/>
      <c r="E388" s="87"/>
    </row>
    <row r="389" spans="4:5">
      <c r="D389" s="87"/>
      <c r="E389" s="87"/>
    </row>
    <row r="390" spans="4:5">
      <c r="D390" s="87"/>
      <c r="E390" s="87"/>
    </row>
    <row r="391" spans="4:5">
      <c r="D391" s="87"/>
      <c r="E391" s="87"/>
    </row>
    <row r="392" spans="4:5">
      <c r="D392" s="87"/>
      <c r="E392" s="87"/>
    </row>
    <row r="393" spans="4:5">
      <c r="D393" s="87"/>
      <c r="E393" s="87"/>
    </row>
    <row r="394" spans="4:5">
      <c r="D394" s="87"/>
      <c r="E394" s="87"/>
    </row>
    <row r="395" spans="4:5">
      <c r="D395" s="87"/>
      <c r="E395" s="87"/>
    </row>
    <row r="396" spans="4:5">
      <c r="D396" s="87"/>
      <c r="E396" s="87"/>
    </row>
    <row r="397" spans="4:5">
      <c r="D397" s="87"/>
      <c r="E397" s="87"/>
    </row>
    <row r="398" spans="4:5">
      <c r="D398" s="87"/>
      <c r="E398" s="87"/>
    </row>
    <row r="399" spans="4:5">
      <c r="D399" s="87"/>
      <c r="E399" s="87"/>
    </row>
    <row r="400" spans="4:5">
      <c r="D400" s="87"/>
      <c r="E400" s="87"/>
    </row>
    <row r="401" spans="4:5">
      <c r="D401" s="87"/>
      <c r="E401" s="87"/>
    </row>
    <row r="402" spans="4:5">
      <c r="D402" s="87"/>
      <c r="E402" s="87"/>
    </row>
    <row r="403" spans="4:5">
      <c r="D403" s="87"/>
      <c r="E403" s="87"/>
    </row>
    <row r="404" spans="4:5">
      <c r="D404" s="87"/>
      <c r="E404" s="87"/>
    </row>
    <row r="405" spans="4:5">
      <c r="D405" s="87"/>
      <c r="E405" s="87"/>
    </row>
    <row r="406" spans="4:5">
      <c r="D406" s="87"/>
      <c r="E406" s="87"/>
    </row>
    <row r="407" spans="4:5">
      <c r="D407" s="87"/>
      <c r="E407" s="87"/>
    </row>
    <row r="408" spans="4:5">
      <c r="D408" s="87"/>
      <c r="E408" s="87"/>
    </row>
    <row r="409" spans="4:5">
      <c r="D409" s="87"/>
      <c r="E409" s="87"/>
    </row>
    <row r="410" spans="4:5">
      <c r="D410" s="87"/>
      <c r="E410" s="87"/>
    </row>
    <row r="411" spans="4:5">
      <c r="D411" s="87"/>
      <c r="E411" s="87"/>
    </row>
    <row r="412" spans="4:5">
      <c r="D412" s="87"/>
      <c r="E412" s="87"/>
    </row>
    <row r="413" spans="4:5">
      <c r="D413" s="87"/>
      <c r="E413" s="87"/>
    </row>
    <row r="414" spans="4:5">
      <c r="D414" s="87"/>
      <c r="E414" s="87"/>
    </row>
    <row r="415" spans="4:5">
      <c r="D415" s="87"/>
      <c r="E415" s="87"/>
    </row>
    <row r="416" spans="4:5">
      <c r="D416" s="87"/>
      <c r="E416" s="87"/>
    </row>
    <row r="417" spans="4:5">
      <c r="D417" s="87"/>
      <c r="E417" s="87"/>
    </row>
    <row r="418" spans="4:5">
      <c r="D418" s="87"/>
      <c r="E418" s="87"/>
    </row>
    <row r="419" spans="4:5">
      <c r="D419" s="87"/>
      <c r="E419" s="87"/>
    </row>
    <row r="420" spans="4:5">
      <c r="D420" s="87"/>
      <c r="E420" s="87"/>
    </row>
    <row r="421" spans="4:5">
      <c r="D421" s="87"/>
      <c r="E421" s="87"/>
    </row>
    <row r="422" spans="4:5">
      <c r="D422" s="87"/>
      <c r="E422" s="87"/>
    </row>
    <row r="423" spans="4:5">
      <c r="D423" s="87"/>
      <c r="E423" s="87"/>
    </row>
    <row r="424" spans="4:5">
      <c r="D424" s="87"/>
      <c r="E424" s="87"/>
    </row>
    <row r="425" spans="4:5">
      <c r="D425" s="87"/>
      <c r="E425" s="87"/>
    </row>
    <row r="426" spans="4:5">
      <c r="D426" s="87"/>
      <c r="E426" s="87"/>
    </row>
    <row r="427" spans="4:5">
      <c r="D427" s="87"/>
      <c r="E427" s="87"/>
    </row>
    <row r="428" spans="4:5">
      <c r="D428" s="87"/>
      <c r="E428" s="87"/>
    </row>
    <row r="429" spans="4:5">
      <c r="D429" s="87"/>
      <c r="E429" s="87"/>
    </row>
    <row r="430" spans="4:5">
      <c r="D430" s="87"/>
      <c r="E430" s="87"/>
    </row>
    <row r="431" spans="4:5">
      <c r="D431" s="87"/>
      <c r="E431" s="87"/>
    </row>
    <row r="432" spans="4:5">
      <c r="D432" s="87"/>
      <c r="E432" s="87"/>
    </row>
    <row r="433" spans="4:5">
      <c r="D433" s="87"/>
      <c r="E433" s="87"/>
    </row>
    <row r="434" spans="4:5">
      <c r="D434" s="87"/>
      <c r="E434" s="87"/>
    </row>
    <row r="435" spans="4:5">
      <c r="D435" s="87"/>
      <c r="E435" s="87"/>
    </row>
    <row r="436" spans="4:5">
      <c r="D436" s="87"/>
      <c r="E436" s="87"/>
    </row>
    <row r="437" spans="4:5">
      <c r="D437" s="87"/>
      <c r="E437" s="87"/>
    </row>
    <row r="438" spans="4:5">
      <c r="D438" s="87"/>
      <c r="E438" s="87"/>
    </row>
    <row r="439" spans="4:5">
      <c r="D439" s="87"/>
      <c r="E439" s="87"/>
    </row>
    <row r="440" spans="4:5">
      <c r="D440" s="87"/>
      <c r="E440" s="87"/>
    </row>
    <row r="441" spans="4:5">
      <c r="D441" s="87"/>
      <c r="E441" s="87"/>
    </row>
    <row r="442" spans="4:5">
      <c r="D442" s="87"/>
      <c r="E442" s="87"/>
    </row>
    <row r="443" spans="4:5">
      <c r="D443" s="87"/>
      <c r="E443" s="87"/>
    </row>
    <row r="444" spans="4:5">
      <c r="D444" s="87"/>
      <c r="E444" s="87"/>
    </row>
    <row r="445" spans="4:5">
      <c r="D445" s="87"/>
      <c r="E445" s="87"/>
    </row>
    <row r="446" spans="4:5">
      <c r="D446" s="87"/>
      <c r="E446" s="87"/>
    </row>
    <row r="447" spans="4:5">
      <c r="D447" s="87"/>
      <c r="E447" s="87"/>
    </row>
    <row r="448" spans="4:5">
      <c r="D448" s="87"/>
      <c r="E448" s="87"/>
    </row>
    <row r="449" spans="4:5">
      <c r="D449" s="87"/>
      <c r="E449" s="87"/>
    </row>
    <row r="450" spans="4:5">
      <c r="D450" s="87"/>
      <c r="E450" s="87"/>
    </row>
    <row r="451" spans="4:5">
      <c r="D451" s="87"/>
      <c r="E451" s="87"/>
    </row>
    <row r="452" spans="4:5">
      <c r="D452" s="87"/>
      <c r="E452" s="87"/>
    </row>
    <row r="453" spans="4:5">
      <c r="D453" s="87"/>
      <c r="E453" s="87"/>
    </row>
    <row r="454" spans="4:5">
      <c r="D454" s="87"/>
      <c r="E454" s="87"/>
    </row>
    <row r="455" spans="4:5">
      <c r="D455" s="87"/>
      <c r="E455" s="87"/>
    </row>
    <row r="456" spans="4:5">
      <c r="D456" s="87"/>
      <c r="E456" s="87"/>
    </row>
    <row r="457" spans="4:5">
      <c r="D457" s="87"/>
      <c r="E457" s="87"/>
    </row>
    <row r="458" spans="4:5">
      <c r="D458" s="87"/>
      <c r="E458" s="87"/>
    </row>
    <row r="459" spans="4:5">
      <c r="D459" s="87"/>
      <c r="E459" s="87"/>
    </row>
    <row r="460" spans="4:5">
      <c r="D460" s="87"/>
      <c r="E460" s="87"/>
    </row>
    <row r="461" spans="4:5">
      <c r="D461" s="87"/>
      <c r="E461" s="87"/>
    </row>
    <row r="462" spans="4:5">
      <c r="D462" s="87"/>
      <c r="E462" s="87"/>
    </row>
    <row r="463" spans="4:5">
      <c r="D463" s="87"/>
      <c r="E463" s="87"/>
    </row>
    <row r="464" spans="4:5">
      <c r="D464" s="87"/>
      <c r="E464" s="87"/>
    </row>
    <row r="465" spans="4:5">
      <c r="D465" s="87"/>
      <c r="E465" s="87"/>
    </row>
    <row r="466" spans="4:5">
      <c r="D466" s="87"/>
      <c r="E466" s="87"/>
    </row>
    <row r="467" spans="4:5">
      <c r="D467" s="87"/>
      <c r="E467" s="87"/>
    </row>
    <row r="468" spans="4:5">
      <c r="D468" s="87"/>
      <c r="E468" s="87"/>
    </row>
    <row r="469" spans="4:5">
      <c r="D469" s="87"/>
      <c r="E469" s="87"/>
    </row>
    <row r="470" spans="4:5">
      <c r="D470" s="87"/>
      <c r="E470" s="87"/>
    </row>
    <row r="471" spans="4:5">
      <c r="D471" s="87"/>
      <c r="E471" s="87"/>
    </row>
    <row r="472" spans="4:5">
      <c r="D472" s="87"/>
      <c r="E472" s="87"/>
    </row>
    <row r="473" spans="4:5">
      <c r="D473" s="87"/>
      <c r="E473" s="87"/>
    </row>
    <row r="474" spans="4:5">
      <c r="D474" s="87"/>
      <c r="E474" s="87"/>
    </row>
    <row r="475" spans="4:5">
      <c r="D475" s="87"/>
      <c r="E475" s="87"/>
    </row>
    <row r="476" spans="4:5">
      <c r="D476" s="87"/>
      <c r="E476" s="87"/>
    </row>
    <row r="477" spans="4:5">
      <c r="D477" s="87"/>
      <c r="E477" s="87"/>
    </row>
    <row r="478" spans="4:5">
      <c r="D478" s="87"/>
      <c r="E478" s="87"/>
    </row>
    <row r="479" spans="4:5">
      <c r="D479" s="87"/>
      <c r="E479" s="87"/>
    </row>
    <row r="480" spans="4:5">
      <c r="D480" s="87"/>
      <c r="E480" s="87"/>
    </row>
    <row r="481" spans="4:5">
      <c r="D481" s="87"/>
      <c r="E481" s="87"/>
    </row>
    <row r="482" spans="4:5">
      <c r="D482" s="87"/>
      <c r="E482" s="87"/>
    </row>
    <row r="483" spans="4:5">
      <c r="D483" s="87"/>
      <c r="E483" s="87"/>
    </row>
    <row r="484" spans="4:5">
      <c r="D484" s="87"/>
      <c r="E484" s="87"/>
    </row>
    <row r="485" spans="4:5">
      <c r="D485" s="87"/>
      <c r="E485" s="87"/>
    </row>
    <row r="486" spans="4:5">
      <c r="D486" s="87"/>
      <c r="E486" s="87"/>
    </row>
    <row r="487" spans="4:5">
      <c r="D487" s="87"/>
      <c r="E487" s="87"/>
    </row>
    <row r="488" spans="4:5">
      <c r="D488" s="87"/>
      <c r="E488" s="87"/>
    </row>
    <row r="489" spans="4:5">
      <c r="D489" s="87"/>
      <c r="E489" s="87"/>
    </row>
    <row r="490" spans="4:5">
      <c r="D490" s="87"/>
      <c r="E490" s="87"/>
    </row>
    <row r="491" spans="4:5">
      <c r="D491" s="87"/>
      <c r="E491" s="87"/>
    </row>
    <row r="492" spans="4:5">
      <c r="D492" s="87"/>
      <c r="E492" s="87"/>
    </row>
    <row r="493" spans="4:5">
      <c r="D493" s="87"/>
      <c r="E493" s="87"/>
    </row>
    <row r="494" spans="4:5">
      <c r="D494" s="87"/>
      <c r="E494" s="87"/>
    </row>
    <row r="495" spans="4:5">
      <c r="D495" s="87"/>
      <c r="E495" s="87"/>
    </row>
    <row r="496" spans="4:5">
      <c r="D496" s="87"/>
      <c r="E496" s="87"/>
    </row>
    <row r="497" spans="4:5">
      <c r="D497" s="87"/>
      <c r="E497" s="87"/>
    </row>
    <row r="498" spans="4:5">
      <c r="D498" s="87"/>
      <c r="E498" s="87"/>
    </row>
    <row r="499" spans="4:5">
      <c r="D499" s="87"/>
      <c r="E499" s="87"/>
    </row>
    <row r="500" spans="4:5">
      <c r="D500" s="87"/>
      <c r="E500" s="87"/>
    </row>
    <row r="501" spans="4:5">
      <c r="D501" s="87"/>
      <c r="E501" s="87"/>
    </row>
    <row r="502" spans="4:5">
      <c r="D502" s="87"/>
      <c r="E502" s="87"/>
    </row>
    <row r="503" spans="4:5">
      <c r="D503" s="87"/>
      <c r="E503" s="87"/>
    </row>
    <row r="504" spans="4:5">
      <c r="D504" s="87"/>
      <c r="E504" s="87"/>
    </row>
    <row r="505" spans="4:5">
      <c r="D505" s="87"/>
      <c r="E505" s="87"/>
    </row>
    <row r="506" spans="4:5">
      <c r="D506" s="87"/>
      <c r="E506" s="87"/>
    </row>
    <row r="507" spans="4:5">
      <c r="D507" s="87"/>
      <c r="E507" s="87"/>
    </row>
    <row r="508" spans="4:5">
      <c r="D508" s="87"/>
      <c r="E508" s="87"/>
    </row>
    <row r="509" spans="4:5">
      <c r="D509" s="87"/>
      <c r="E509" s="87"/>
    </row>
    <row r="510" spans="4:5">
      <c r="D510" s="87"/>
      <c r="E510" s="87"/>
    </row>
    <row r="511" spans="4:5">
      <c r="D511" s="87"/>
      <c r="E511" s="87"/>
    </row>
    <row r="512" spans="4:5">
      <c r="D512" s="87"/>
      <c r="E512" s="87"/>
    </row>
    <row r="513" spans="4:5">
      <c r="D513" s="87"/>
      <c r="E513" s="87"/>
    </row>
    <row r="514" spans="4:5">
      <c r="D514" s="87"/>
      <c r="E514" s="87"/>
    </row>
    <row r="515" spans="4:5">
      <c r="D515" s="87"/>
      <c r="E515" s="87"/>
    </row>
    <row r="516" spans="4:5">
      <c r="D516" s="87"/>
      <c r="E516" s="87"/>
    </row>
    <row r="517" spans="4:5">
      <c r="D517" s="87"/>
      <c r="E517" s="87"/>
    </row>
    <row r="518" spans="4:5">
      <c r="D518" s="87"/>
      <c r="E518" s="87"/>
    </row>
    <row r="519" spans="4:5">
      <c r="D519" s="87"/>
      <c r="E519" s="87"/>
    </row>
    <row r="520" spans="4:5">
      <c r="D520" s="87"/>
      <c r="E520" s="87"/>
    </row>
    <row r="521" spans="4:5">
      <c r="D521" s="87"/>
      <c r="E521" s="87"/>
    </row>
    <row r="522" spans="4:5">
      <c r="D522" s="87"/>
      <c r="E522" s="87"/>
    </row>
    <row r="523" spans="4:5">
      <c r="D523" s="87"/>
      <c r="E523" s="87"/>
    </row>
    <row r="524" spans="4:5">
      <c r="D524" s="87"/>
      <c r="E524" s="87"/>
    </row>
    <row r="525" spans="4:5">
      <c r="D525" s="87"/>
      <c r="E525" s="87"/>
    </row>
    <row r="526" spans="4:5">
      <c r="D526" s="87"/>
      <c r="E526" s="87"/>
    </row>
    <row r="527" spans="4:5">
      <c r="D527" s="87"/>
      <c r="E527" s="87"/>
    </row>
    <row r="528" spans="4:5">
      <c r="D528" s="87"/>
      <c r="E528" s="87"/>
    </row>
    <row r="529" spans="4:5">
      <c r="D529" s="87"/>
      <c r="E529" s="87"/>
    </row>
    <row r="530" spans="4:5">
      <c r="D530" s="87"/>
      <c r="E530" s="87"/>
    </row>
    <row r="531" spans="4:5">
      <c r="D531" s="87"/>
      <c r="E531" s="87"/>
    </row>
    <row r="532" spans="4:5">
      <c r="D532" s="87"/>
      <c r="E532" s="87"/>
    </row>
    <row r="533" spans="4:5">
      <c r="D533" s="87"/>
      <c r="E533" s="87"/>
    </row>
    <row r="534" spans="4:5">
      <c r="D534" s="87"/>
      <c r="E534" s="87"/>
    </row>
    <row r="535" spans="4:5">
      <c r="D535" s="87"/>
      <c r="E535" s="87"/>
    </row>
    <row r="536" spans="4:5">
      <c r="D536" s="87"/>
      <c r="E536" s="87"/>
    </row>
    <row r="537" spans="4:5">
      <c r="D537" s="87"/>
      <c r="E537" s="87"/>
    </row>
    <row r="538" spans="4:5">
      <c r="D538" s="87"/>
      <c r="E538" s="87"/>
    </row>
    <row r="539" spans="4:5">
      <c r="D539" s="87"/>
      <c r="E539" s="87"/>
    </row>
    <row r="540" spans="4:5">
      <c r="D540" s="87"/>
      <c r="E540" s="87"/>
    </row>
    <row r="541" spans="4:5">
      <c r="D541" s="87"/>
      <c r="E541" s="87"/>
    </row>
    <row r="542" spans="4:5">
      <c r="D542" s="87"/>
      <c r="E542" s="87"/>
    </row>
    <row r="543" spans="4:5">
      <c r="D543" s="87"/>
      <c r="E543" s="87"/>
    </row>
    <row r="544" spans="4:5">
      <c r="D544" s="87"/>
      <c r="E544" s="87"/>
    </row>
    <row r="545" spans="4:5">
      <c r="D545" s="87"/>
      <c r="E545" s="87"/>
    </row>
    <row r="546" spans="4:5">
      <c r="D546" s="87"/>
      <c r="E546" s="87"/>
    </row>
    <row r="547" spans="4:5">
      <c r="D547" s="87"/>
      <c r="E547" s="87"/>
    </row>
    <row r="548" spans="4:5">
      <c r="D548" s="87"/>
      <c r="E548" s="87"/>
    </row>
    <row r="549" spans="4:5">
      <c r="D549" s="87"/>
      <c r="E549" s="87"/>
    </row>
    <row r="550" spans="4:5">
      <c r="D550" s="87"/>
      <c r="E550" s="87"/>
    </row>
    <row r="551" spans="4:5">
      <c r="D551" s="87"/>
      <c r="E551" s="87"/>
    </row>
    <row r="552" spans="4:5">
      <c r="D552" s="87"/>
      <c r="E552" s="87"/>
    </row>
    <row r="553" spans="4:5">
      <c r="D553" s="87"/>
      <c r="E553" s="87"/>
    </row>
    <row r="554" spans="4:5">
      <c r="D554" s="87"/>
      <c r="E554" s="87"/>
    </row>
    <row r="555" spans="4:5">
      <c r="D555" s="87"/>
      <c r="E555" s="87"/>
    </row>
    <row r="556" spans="4:5">
      <c r="D556" s="87"/>
      <c r="E556" s="87"/>
    </row>
    <row r="557" spans="4:5">
      <c r="D557" s="87"/>
      <c r="E557" s="87"/>
    </row>
    <row r="558" spans="4:5">
      <c r="D558" s="87"/>
      <c r="E558" s="87"/>
    </row>
    <row r="559" spans="4:5">
      <c r="D559" s="87"/>
      <c r="E559" s="87"/>
    </row>
    <row r="560" spans="4:5">
      <c r="D560" s="87"/>
      <c r="E560" s="87"/>
    </row>
    <row r="561" spans="4:5">
      <c r="D561" s="87"/>
      <c r="E561" s="87"/>
    </row>
    <row r="562" spans="4:5">
      <c r="D562" s="87"/>
      <c r="E562" s="87"/>
    </row>
    <row r="563" spans="4:5">
      <c r="D563" s="87"/>
      <c r="E563" s="87"/>
    </row>
    <row r="564" spans="4:5">
      <c r="D564" s="87"/>
      <c r="E564" s="87"/>
    </row>
    <row r="565" spans="4:5">
      <c r="D565" s="87"/>
      <c r="E565" s="87"/>
    </row>
    <row r="566" spans="4:5">
      <c r="D566" s="87"/>
      <c r="E566" s="87"/>
    </row>
    <row r="567" spans="4:5">
      <c r="D567" s="87"/>
      <c r="E567" s="87"/>
    </row>
    <row r="568" spans="4:5">
      <c r="D568" s="87"/>
      <c r="E568" s="87"/>
    </row>
    <row r="569" spans="4:5">
      <c r="D569" s="87"/>
      <c r="E569" s="87"/>
    </row>
    <row r="570" spans="4:5">
      <c r="D570" s="87"/>
      <c r="E570" s="87"/>
    </row>
    <row r="571" spans="4:5">
      <c r="D571" s="87"/>
      <c r="E571" s="87"/>
    </row>
    <row r="572" spans="4:5">
      <c r="D572" s="87"/>
      <c r="E572" s="87"/>
    </row>
    <row r="573" spans="4:5">
      <c r="D573" s="87"/>
      <c r="E573" s="87"/>
    </row>
    <row r="574" spans="4:5">
      <c r="D574" s="87"/>
      <c r="E574" s="87"/>
    </row>
    <row r="575" spans="4:5">
      <c r="D575" s="87"/>
      <c r="E575" s="87"/>
    </row>
    <row r="576" spans="4:5">
      <c r="D576" s="87"/>
      <c r="E576" s="87"/>
    </row>
    <row r="577" spans="4:5">
      <c r="D577" s="87"/>
      <c r="E577" s="87"/>
    </row>
    <row r="578" spans="4:5">
      <c r="D578" s="87"/>
      <c r="E578" s="87"/>
    </row>
    <row r="579" spans="4:5">
      <c r="D579" s="87"/>
      <c r="E579" s="87"/>
    </row>
    <row r="580" spans="4:5">
      <c r="D580" s="87"/>
      <c r="E580" s="87"/>
    </row>
    <row r="581" spans="4:5">
      <c r="D581" s="87"/>
      <c r="E581" s="87"/>
    </row>
    <row r="582" spans="4:5">
      <c r="D582" s="87"/>
      <c r="E582" s="87"/>
    </row>
    <row r="583" spans="4:5">
      <c r="D583" s="87"/>
      <c r="E583" s="87"/>
    </row>
    <row r="584" spans="4:5">
      <c r="D584" s="87"/>
      <c r="E584" s="87"/>
    </row>
    <row r="585" spans="4:5">
      <c r="D585" s="87"/>
      <c r="E585" s="87"/>
    </row>
    <row r="586" spans="4:5">
      <c r="D586" s="87"/>
      <c r="E586" s="87"/>
    </row>
    <row r="587" spans="4:5">
      <c r="D587" s="87"/>
      <c r="E587" s="87"/>
    </row>
    <row r="588" spans="4:5">
      <c r="D588" s="87"/>
      <c r="E588" s="87"/>
    </row>
    <row r="589" spans="4:5">
      <c r="D589" s="87"/>
      <c r="E589" s="87"/>
    </row>
    <row r="590" spans="4:5">
      <c r="D590" s="87"/>
      <c r="E590" s="87"/>
    </row>
    <row r="591" spans="4:5">
      <c r="D591" s="87"/>
      <c r="E591" s="87"/>
    </row>
    <row r="592" spans="4:5">
      <c r="D592" s="87"/>
      <c r="E592" s="87"/>
    </row>
    <row r="593" spans="4:5">
      <c r="D593" s="87"/>
      <c r="E593" s="87"/>
    </row>
    <row r="594" spans="4:5">
      <c r="D594" s="87"/>
      <c r="E594" s="87"/>
    </row>
    <row r="595" spans="4:5">
      <c r="D595" s="87"/>
      <c r="E595" s="87"/>
    </row>
    <row r="596" spans="4:5">
      <c r="D596" s="87"/>
      <c r="E596" s="87"/>
    </row>
    <row r="597" spans="4:5">
      <c r="D597" s="87"/>
      <c r="E597" s="87"/>
    </row>
    <row r="598" spans="4:5">
      <c r="D598" s="87"/>
      <c r="E598" s="87"/>
    </row>
    <row r="599" spans="4:5">
      <c r="D599" s="87"/>
      <c r="E599" s="87"/>
    </row>
    <row r="600" spans="4:5">
      <c r="D600" s="87"/>
      <c r="E600" s="87"/>
    </row>
    <row r="601" spans="4:5">
      <c r="D601" s="87"/>
      <c r="E601" s="87"/>
    </row>
    <row r="602" spans="4:5">
      <c r="D602" s="87"/>
      <c r="E602" s="87"/>
    </row>
    <row r="603" spans="4:5">
      <c r="D603" s="87"/>
      <c r="E603" s="87"/>
    </row>
    <row r="604" spans="4:5">
      <c r="D604" s="87"/>
      <c r="E604" s="87"/>
    </row>
    <row r="605" spans="4:5">
      <c r="D605" s="87"/>
      <c r="E605" s="87"/>
    </row>
    <row r="606" spans="4:5">
      <c r="D606" s="87"/>
      <c r="E606" s="87"/>
    </row>
    <row r="607" spans="4:5">
      <c r="D607" s="87"/>
      <c r="E607" s="87"/>
    </row>
    <row r="608" spans="4:5">
      <c r="D608" s="87"/>
      <c r="E608" s="87"/>
    </row>
    <row r="609" spans="4:5">
      <c r="D609" s="87"/>
      <c r="E609" s="87"/>
    </row>
    <row r="610" spans="4:5">
      <c r="D610" s="87"/>
      <c r="E610" s="87"/>
    </row>
    <row r="611" spans="4:5">
      <c r="D611" s="87"/>
      <c r="E611" s="87"/>
    </row>
    <row r="612" spans="4:5">
      <c r="D612" s="87"/>
      <c r="E612" s="87"/>
    </row>
    <row r="613" spans="4:5">
      <c r="D613" s="87"/>
      <c r="E613" s="87"/>
    </row>
    <row r="614" spans="4:5">
      <c r="D614" s="87"/>
      <c r="E614" s="87"/>
    </row>
    <row r="615" spans="4:5">
      <c r="D615" s="87"/>
      <c r="E615" s="87"/>
    </row>
    <row r="616" spans="4:5">
      <c r="D616" s="87"/>
      <c r="E616" s="87"/>
    </row>
    <row r="617" spans="4:5">
      <c r="D617" s="87"/>
      <c r="E617" s="87"/>
    </row>
    <row r="618" spans="4:5">
      <c r="D618" s="87"/>
      <c r="E618" s="87"/>
    </row>
    <row r="619" spans="4:5">
      <c r="D619" s="87"/>
      <c r="E619" s="87"/>
    </row>
    <row r="620" spans="4:5">
      <c r="D620" s="87"/>
      <c r="E620" s="87"/>
    </row>
    <row r="621" spans="4:5">
      <c r="D621" s="87"/>
      <c r="E621" s="87"/>
    </row>
  </sheetData>
  <protectedRanges>
    <protectedRange sqref="A1:G6" name="Range1"/>
  </protectedRanges>
  <mergeCells count="1">
    <mergeCell ref="E5:E6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7" r:id="rId3" name="TextBox1">
          <controlPr defaultSize="0" autoLine="0" linkedCell="B1" r:id="rId4">
            <anchor moveWithCells="1">
              <from>
                <xdr:col>3</xdr:col>
                <xdr:colOff>9525</xdr:colOff>
                <xdr:row>4</xdr:row>
                <xdr:rowOff>9525</xdr:rowOff>
              </from>
              <to>
                <xdr:col>3</xdr:col>
                <xdr:colOff>3028950</xdr:colOff>
                <xdr:row>5</xdr:row>
                <xdr:rowOff>161925</xdr:rowOff>
              </to>
            </anchor>
          </controlPr>
        </control>
      </mc:Choice>
      <mc:Fallback>
        <control shapeId="4097" r:id="rId3" name="TextBox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55112B-41D2-4754-B5A1-B33482B0FB74}">
  <sheetPr codeName="Sheet5"/>
  <dimension ref="A1:D92"/>
  <sheetViews>
    <sheetView workbookViewId="0">
      <selection activeCell="A2" sqref="A2"/>
    </sheetView>
  </sheetViews>
  <sheetFormatPr defaultRowHeight="15"/>
  <cols>
    <col min="1" max="1" width="29" style="108" customWidth="1"/>
    <col min="2" max="2" width="48.140625" customWidth="1"/>
    <col min="3" max="3" width="19.42578125" style="99" customWidth="1"/>
    <col min="4" max="4" width="20.7109375" customWidth="1"/>
  </cols>
  <sheetData>
    <row r="1" spans="1:4">
      <c r="A1" s="106" t="s">
        <v>1061</v>
      </c>
      <c r="B1" s="100" t="s">
        <v>1054</v>
      </c>
      <c r="C1" s="101" t="s">
        <v>1055</v>
      </c>
      <c r="D1" s="100" t="s">
        <v>1057</v>
      </c>
    </row>
    <row r="2" spans="1:4">
      <c r="A2" s="107">
        <v>0</v>
      </c>
      <c r="B2" s="87" t="s">
        <v>994</v>
      </c>
      <c r="C2" s="102">
        <v>7743.75</v>
      </c>
      <c r="D2" s="105" t="s">
        <v>1062</v>
      </c>
    </row>
    <row r="3" spans="1:4">
      <c r="A3" s="107">
        <v>56395</v>
      </c>
      <c r="B3" s="87" t="s">
        <v>1087</v>
      </c>
      <c r="C3" s="102">
        <v>0</v>
      </c>
      <c r="D3" s="105" t="s">
        <v>1062</v>
      </c>
    </row>
    <row r="4" spans="1:4">
      <c r="A4" s="107"/>
      <c r="B4" s="87"/>
      <c r="C4" s="102"/>
      <c r="D4" s="87"/>
    </row>
    <row r="5" spans="1:4">
      <c r="A5" s="107"/>
      <c r="B5" s="87"/>
      <c r="C5" s="102"/>
      <c r="D5" s="87"/>
    </row>
    <row r="6" spans="1:4">
      <c r="A6" s="107"/>
      <c r="B6" s="87"/>
      <c r="C6" s="102"/>
      <c r="D6" s="87"/>
    </row>
    <row r="7" spans="1:4">
      <c r="A7" s="107"/>
      <c r="B7" s="87"/>
      <c r="C7" s="102"/>
      <c r="D7" s="87"/>
    </row>
    <row r="8" spans="1:4">
      <c r="A8" s="107"/>
      <c r="B8" s="87"/>
      <c r="C8" s="102"/>
      <c r="D8" s="87"/>
    </row>
    <row r="9" spans="1:4">
      <c r="A9" s="107"/>
      <c r="B9" s="87"/>
      <c r="C9" s="102"/>
      <c r="D9" s="87"/>
    </row>
    <row r="10" spans="1:4">
      <c r="A10" s="107"/>
      <c r="B10" s="87"/>
      <c r="C10" s="102"/>
      <c r="D10" s="87"/>
    </row>
    <row r="11" spans="1:4">
      <c r="A11" s="107"/>
      <c r="B11" s="87"/>
      <c r="C11" s="102"/>
      <c r="D11" s="87"/>
    </row>
    <row r="12" spans="1:4">
      <c r="A12" s="107"/>
      <c r="B12" s="87"/>
      <c r="C12" s="102"/>
      <c r="D12" s="87"/>
    </row>
    <row r="13" spans="1:4">
      <c r="A13" s="107"/>
      <c r="B13" s="87"/>
      <c r="C13" s="102"/>
      <c r="D13" s="87"/>
    </row>
    <row r="14" spans="1:4">
      <c r="A14" s="107"/>
      <c r="B14" s="87"/>
      <c r="C14" s="102"/>
      <c r="D14" s="87"/>
    </row>
    <row r="15" spans="1:4">
      <c r="A15" s="107"/>
      <c r="B15" s="87"/>
      <c r="C15" s="102"/>
      <c r="D15" s="87"/>
    </row>
    <row r="16" spans="1:4">
      <c r="A16" s="107"/>
      <c r="B16" s="87"/>
      <c r="C16" s="102"/>
      <c r="D16" s="87"/>
    </row>
    <row r="17" spans="1:4">
      <c r="A17" s="107"/>
      <c r="B17" s="87"/>
      <c r="C17" s="102"/>
      <c r="D17" s="87"/>
    </row>
    <row r="18" spans="1:4">
      <c r="A18" s="107"/>
      <c r="B18" s="87"/>
      <c r="C18" s="102"/>
      <c r="D18" s="87"/>
    </row>
    <row r="19" spans="1:4">
      <c r="A19" s="107"/>
      <c r="B19" s="87"/>
      <c r="C19" s="102"/>
      <c r="D19" s="87"/>
    </row>
    <row r="20" spans="1:4">
      <c r="A20" s="107"/>
      <c r="B20" s="87"/>
      <c r="C20" s="102"/>
      <c r="D20" s="87"/>
    </row>
    <row r="21" spans="1:4">
      <c r="A21" s="107"/>
      <c r="B21" s="87"/>
      <c r="C21" s="102"/>
      <c r="D21" s="87"/>
    </row>
    <row r="22" spans="1:4">
      <c r="A22" s="107"/>
      <c r="B22" s="87"/>
      <c r="C22" s="102"/>
      <c r="D22" s="87"/>
    </row>
    <row r="23" spans="1:4">
      <c r="A23" s="107"/>
      <c r="B23" s="87"/>
      <c r="C23" s="102"/>
      <c r="D23" s="87"/>
    </row>
    <row r="24" spans="1:4">
      <c r="A24" s="107"/>
      <c r="B24" s="87"/>
      <c r="C24" s="102"/>
      <c r="D24" s="87"/>
    </row>
    <row r="25" spans="1:4">
      <c r="A25" s="107"/>
      <c r="B25" s="87"/>
      <c r="C25" s="102"/>
      <c r="D25" s="87"/>
    </row>
    <row r="26" spans="1:4">
      <c r="A26" s="107"/>
      <c r="B26" s="87"/>
      <c r="C26" s="102"/>
      <c r="D26" s="87"/>
    </row>
    <row r="27" spans="1:4">
      <c r="A27" s="107"/>
      <c r="B27" s="87"/>
      <c r="C27" s="102"/>
      <c r="D27" s="87"/>
    </row>
    <row r="28" spans="1:4">
      <c r="A28" s="107"/>
      <c r="B28" s="87"/>
      <c r="C28" s="102"/>
      <c r="D28" s="87"/>
    </row>
    <row r="29" spans="1:4">
      <c r="A29" s="107"/>
      <c r="B29" s="87"/>
      <c r="C29" s="102"/>
      <c r="D29" s="87"/>
    </row>
    <row r="30" spans="1:4">
      <c r="A30" s="107"/>
      <c r="B30" s="87"/>
      <c r="C30" s="102"/>
      <c r="D30" s="87"/>
    </row>
    <row r="31" spans="1:4">
      <c r="A31" s="107"/>
      <c r="B31" s="87"/>
      <c r="C31" s="102"/>
      <c r="D31" s="87"/>
    </row>
    <row r="32" spans="1:4">
      <c r="A32" s="107"/>
      <c r="B32" s="87"/>
      <c r="C32" s="102"/>
      <c r="D32" s="87"/>
    </row>
    <row r="33" spans="1:4">
      <c r="A33" s="107"/>
      <c r="B33" s="87"/>
      <c r="C33" s="102"/>
      <c r="D33" s="87"/>
    </row>
    <row r="34" spans="1:4">
      <c r="A34" s="107"/>
      <c r="B34" s="87"/>
      <c r="C34" s="102"/>
      <c r="D34" s="87"/>
    </row>
    <row r="35" spans="1:4">
      <c r="A35" s="107"/>
      <c r="B35" s="87"/>
      <c r="C35" s="102"/>
      <c r="D35" s="87"/>
    </row>
    <row r="36" spans="1:4">
      <c r="A36" s="107"/>
      <c r="B36" s="87"/>
      <c r="C36" s="102"/>
      <c r="D36" s="87"/>
    </row>
    <row r="37" spans="1:4">
      <c r="A37" s="107"/>
      <c r="B37" s="87"/>
      <c r="C37" s="102"/>
      <c r="D37" s="87"/>
    </row>
    <row r="38" spans="1:4">
      <c r="A38" s="107"/>
      <c r="B38" s="87"/>
      <c r="C38" s="102"/>
      <c r="D38" s="87"/>
    </row>
    <row r="39" spans="1:4">
      <c r="A39" s="107"/>
      <c r="B39" s="87"/>
      <c r="C39" s="102"/>
      <c r="D39" s="87"/>
    </row>
    <row r="40" spans="1:4">
      <c r="A40" s="107"/>
      <c r="B40" s="87"/>
      <c r="C40" s="102"/>
      <c r="D40" s="87"/>
    </row>
    <row r="41" spans="1:4">
      <c r="A41" s="107"/>
      <c r="B41" s="87"/>
      <c r="C41" s="102"/>
      <c r="D41" s="87"/>
    </row>
    <row r="42" spans="1:4">
      <c r="A42" s="107"/>
      <c r="B42" s="87"/>
      <c r="C42" s="102"/>
      <c r="D42" s="87"/>
    </row>
    <row r="43" spans="1:4">
      <c r="A43" s="107"/>
      <c r="B43" s="87"/>
      <c r="C43" s="102"/>
      <c r="D43" s="87"/>
    </row>
    <row r="44" spans="1:4">
      <c r="A44" s="107"/>
      <c r="B44" s="87"/>
      <c r="C44" s="102"/>
      <c r="D44" s="87"/>
    </row>
    <row r="45" spans="1:4">
      <c r="A45" s="107"/>
      <c r="B45" s="87"/>
      <c r="C45" s="102"/>
      <c r="D45" s="87"/>
    </row>
    <row r="46" spans="1:4">
      <c r="A46" s="107"/>
      <c r="B46" s="87"/>
      <c r="C46" s="102"/>
      <c r="D46" s="87"/>
    </row>
    <row r="47" spans="1:4">
      <c r="A47" s="107"/>
      <c r="B47" s="87"/>
      <c r="C47" s="102"/>
      <c r="D47" s="87"/>
    </row>
    <row r="48" spans="1:4">
      <c r="A48" s="107"/>
      <c r="B48" s="87"/>
      <c r="C48" s="102"/>
      <c r="D48" s="87"/>
    </row>
    <row r="49" spans="1:4">
      <c r="A49" s="107"/>
      <c r="B49" s="87"/>
      <c r="C49" s="102"/>
      <c r="D49" s="87"/>
    </row>
    <row r="50" spans="1:4">
      <c r="A50" s="107"/>
      <c r="B50" s="87"/>
      <c r="C50" s="102"/>
      <c r="D50" s="87"/>
    </row>
    <row r="51" spans="1:4">
      <c r="A51" s="107"/>
      <c r="B51" s="87"/>
      <c r="C51" s="102"/>
      <c r="D51" s="87"/>
    </row>
    <row r="52" spans="1:4">
      <c r="A52" s="107"/>
      <c r="B52" s="87"/>
      <c r="C52" s="102"/>
      <c r="D52" s="87"/>
    </row>
    <row r="53" spans="1:4">
      <c r="A53" s="107"/>
      <c r="B53" s="87"/>
      <c r="C53" s="102"/>
      <c r="D53" s="87"/>
    </row>
    <row r="54" spans="1:4">
      <c r="A54" s="107"/>
      <c r="B54" s="87"/>
      <c r="C54" s="102"/>
      <c r="D54" s="87"/>
    </row>
    <row r="55" spans="1:4">
      <c r="A55" s="107"/>
      <c r="B55" s="87"/>
      <c r="C55" s="102"/>
      <c r="D55" s="87"/>
    </row>
    <row r="56" spans="1:4">
      <c r="A56" s="107"/>
      <c r="B56" s="87"/>
      <c r="C56" s="102"/>
      <c r="D56" s="87"/>
    </row>
    <row r="57" spans="1:4">
      <c r="A57" s="107"/>
      <c r="B57" s="87"/>
      <c r="C57" s="102"/>
      <c r="D57" s="87"/>
    </row>
    <row r="58" spans="1:4">
      <c r="A58" s="107"/>
      <c r="B58" s="87"/>
      <c r="C58" s="102"/>
      <c r="D58" s="87"/>
    </row>
    <row r="59" spans="1:4">
      <c r="A59" s="107"/>
      <c r="B59" s="87"/>
      <c r="C59" s="102"/>
      <c r="D59" s="87"/>
    </row>
    <row r="60" spans="1:4">
      <c r="A60" s="107"/>
      <c r="B60" s="87"/>
      <c r="C60" s="102"/>
      <c r="D60" s="87"/>
    </row>
    <row r="61" spans="1:4">
      <c r="A61" s="107"/>
      <c r="B61" s="87"/>
      <c r="C61" s="102"/>
      <c r="D61" s="87"/>
    </row>
    <row r="62" spans="1:4">
      <c r="A62" s="107"/>
      <c r="B62" s="87"/>
      <c r="C62" s="102"/>
      <c r="D62" s="87"/>
    </row>
    <row r="63" spans="1:4">
      <c r="A63" s="107"/>
      <c r="B63" s="87"/>
      <c r="C63" s="102"/>
      <c r="D63" s="87"/>
    </row>
    <row r="64" spans="1:4">
      <c r="A64" s="107"/>
      <c r="B64" s="87"/>
      <c r="C64" s="102"/>
      <c r="D64" s="87"/>
    </row>
    <row r="65" spans="1:4">
      <c r="A65" s="107"/>
      <c r="B65" s="87"/>
      <c r="C65" s="102"/>
      <c r="D65" s="87"/>
    </row>
    <row r="66" spans="1:4">
      <c r="A66" s="107"/>
      <c r="B66" s="87"/>
      <c r="C66" s="102"/>
      <c r="D66" s="87"/>
    </row>
    <row r="67" spans="1:4">
      <c r="A67" s="107"/>
      <c r="B67" s="87"/>
      <c r="C67" s="102"/>
      <c r="D67" s="87"/>
    </row>
    <row r="68" spans="1:4">
      <c r="A68" s="107"/>
      <c r="B68" s="87"/>
      <c r="C68" s="102"/>
      <c r="D68" s="87"/>
    </row>
    <row r="69" spans="1:4">
      <c r="A69" s="107"/>
      <c r="B69" s="87"/>
      <c r="C69" s="102"/>
      <c r="D69" s="87"/>
    </row>
    <row r="70" spans="1:4">
      <c r="A70" s="107"/>
      <c r="B70" s="87"/>
      <c r="C70" s="102"/>
      <c r="D70" s="87"/>
    </row>
    <row r="71" spans="1:4">
      <c r="A71" s="107"/>
      <c r="B71" s="87"/>
      <c r="C71" s="102"/>
      <c r="D71" s="87"/>
    </row>
    <row r="72" spans="1:4">
      <c r="A72" s="107"/>
      <c r="B72" s="87"/>
      <c r="C72" s="102"/>
      <c r="D72" s="87"/>
    </row>
    <row r="73" spans="1:4">
      <c r="A73" s="107"/>
      <c r="B73" s="87"/>
      <c r="C73" s="102"/>
      <c r="D73" s="87"/>
    </row>
    <row r="74" spans="1:4">
      <c r="A74" s="107"/>
      <c r="B74" s="87"/>
      <c r="C74" s="102"/>
      <c r="D74" s="87"/>
    </row>
    <row r="75" spans="1:4">
      <c r="A75" s="107"/>
      <c r="B75" s="87"/>
      <c r="C75" s="102"/>
      <c r="D75" s="87"/>
    </row>
    <row r="76" spans="1:4">
      <c r="A76" s="107"/>
      <c r="B76" s="87"/>
      <c r="C76" s="102"/>
      <c r="D76" s="87"/>
    </row>
    <row r="77" spans="1:4">
      <c r="A77" s="107"/>
      <c r="B77" s="87"/>
      <c r="C77" s="102"/>
      <c r="D77" s="87"/>
    </row>
    <row r="78" spans="1:4">
      <c r="A78" s="107"/>
      <c r="B78" s="87"/>
      <c r="C78" s="102"/>
      <c r="D78" s="87"/>
    </row>
    <row r="79" spans="1:4">
      <c r="A79" s="107"/>
      <c r="B79" s="87"/>
      <c r="C79" s="102"/>
      <c r="D79" s="87"/>
    </row>
    <row r="80" spans="1:4">
      <c r="A80" s="107"/>
      <c r="B80" s="87"/>
      <c r="C80" s="102"/>
      <c r="D80" s="87"/>
    </row>
    <row r="81" spans="1:4">
      <c r="A81" s="107"/>
      <c r="B81" s="87"/>
      <c r="C81" s="102"/>
      <c r="D81" s="87"/>
    </row>
    <row r="82" spans="1:4">
      <c r="A82" s="107"/>
      <c r="B82" s="87"/>
      <c r="C82" s="102"/>
      <c r="D82" s="87"/>
    </row>
    <row r="83" spans="1:4">
      <c r="A83" s="107"/>
      <c r="B83" s="87"/>
      <c r="C83" s="102"/>
      <c r="D83" s="87"/>
    </row>
    <row r="84" spans="1:4">
      <c r="A84" s="107"/>
      <c r="B84" s="87"/>
      <c r="C84" s="102"/>
      <c r="D84" s="87"/>
    </row>
    <row r="85" spans="1:4">
      <c r="A85" s="107"/>
      <c r="B85" s="87"/>
      <c r="C85" s="102"/>
      <c r="D85" s="87"/>
    </row>
    <row r="86" spans="1:4">
      <c r="A86" s="107"/>
      <c r="B86" s="87"/>
      <c r="C86" s="102"/>
      <c r="D86" s="87"/>
    </row>
    <row r="87" spans="1:4">
      <c r="A87" s="107"/>
      <c r="B87" s="87"/>
      <c r="C87" s="102"/>
      <c r="D87" s="87"/>
    </row>
    <row r="88" spans="1:4">
      <c r="A88" s="107"/>
      <c r="B88" s="87"/>
      <c r="C88" s="102"/>
      <c r="D88" s="87"/>
    </row>
    <row r="89" spans="1:4">
      <c r="A89" s="107"/>
      <c r="B89" s="87"/>
      <c r="C89" s="102"/>
      <c r="D89" s="87"/>
    </row>
    <row r="90" spans="1:4">
      <c r="A90" s="107"/>
      <c r="B90" s="87"/>
      <c r="C90" s="102"/>
      <c r="D90" s="87"/>
    </row>
    <row r="91" spans="1:4">
      <c r="A91" s="107"/>
      <c r="B91" s="87"/>
      <c r="C91" s="102"/>
      <c r="D91" s="87"/>
    </row>
    <row r="92" spans="1:4">
      <c r="A92" s="107"/>
      <c r="B92" s="87"/>
      <c r="C92" s="102"/>
      <c r="D92" s="87"/>
    </row>
  </sheetData>
  <hyperlinks>
    <hyperlink ref="D2" r:id="rId1" xr:uid="{C21D1E00-B1C4-4142-B74F-EDDDABDC9686}"/>
    <hyperlink ref="D3" r:id="rId2" xr:uid="{BF96852E-97BA-4EB2-BE43-0CB3CA061D0A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7B85D0-74AE-47FB-81B0-C1FEFD12DE4D}">
  <sheetPr codeName="Sheet6"/>
  <dimension ref="A1:B41"/>
  <sheetViews>
    <sheetView topLeftCell="A16" workbookViewId="0">
      <selection activeCell="A31" sqref="A31:A41"/>
    </sheetView>
  </sheetViews>
  <sheetFormatPr defaultRowHeight="15"/>
  <cols>
    <col min="1" max="1" width="39" bestFit="1" customWidth="1"/>
    <col min="2" max="2" width="18.7109375" bestFit="1" customWidth="1"/>
  </cols>
  <sheetData>
    <row r="1" spans="1:2">
      <c r="A1" t="s">
        <v>1063</v>
      </c>
      <c r="B1">
        <f>IFERROR(VLOOKUP(A1,PRICELIST[],2,FALSE),"Not In The Price List")</f>
        <v>0</v>
      </c>
    </row>
    <row r="2" spans="1:2">
      <c r="A2" t="s">
        <v>1064</v>
      </c>
      <c r="B2">
        <f>IFERROR(VLOOKUP(A2,PRICELIST[],2,FALSE),"Not In The Price List")</f>
        <v>0</v>
      </c>
    </row>
    <row r="3" spans="1:2">
      <c r="A3" t="s">
        <v>1065</v>
      </c>
      <c r="B3">
        <f>IFERROR(VLOOKUP(A3,PRICELIST[],2,FALSE),"Not In The Price List")</f>
        <v>0</v>
      </c>
    </row>
    <row r="4" spans="1:2">
      <c r="A4" t="s">
        <v>1066</v>
      </c>
      <c r="B4">
        <f>IFERROR(VLOOKUP(A4,PRICELIST[],2,FALSE),"Not In The Price List")</f>
        <v>0</v>
      </c>
    </row>
    <row r="5" spans="1:2">
      <c r="A5" t="s">
        <v>1067</v>
      </c>
      <c r="B5" t="str">
        <f>IFERROR(VLOOKUP(A5,PRICELIST[],2,FALSE),"Not In The Price List")</f>
        <v>Not In The Price List</v>
      </c>
    </row>
    <row r="6" spans="1:2">
      <c r="A6" t="s">
        <v>1068</v>
      </c>
      <c r="B6" t="str">
        <f>IFERROR(VLOOKUP(A6,PRICELIST[],2,FALSE),"Not In The Price List")</f>
        <v>Not In The Price List</v>
      </c>
    </row>
    <row r="7" spans="1:2">
      <c r="A7" t="s">
        <v>1069</v>
      </c>
      <c r="B7" t="str">
        <f>IFERROR(VLOOKUP(A7,PRICELIST[],2,FALSE),"Not In The Price List")</f>
        <v>Not In The Price List</v>
      </c>
    </row>
    <row r="8" spans="1:2">
      <c r="A8" t="s">
        <v>1070</v>
      </c>
      <c r="B8">
        <f>IFERROR(VLOOKUP(A8,PRICELIST[],2,FALSE),"Not In The Price List")</f>
        <v>0</v>
      </c>
    </row>
    <row r="9" spans="1:2">
      <c r="A9" t="s">
        <v>1071</v>
      </c>
      <c r="B9">
        <f>IFERROR(VLOOKUP(A9,PRICELIST[],2,FALSE),"Not In The Price List")</f>
        <v>0</v>
      </c>
    </row>
    <row r="10" spans="1:2">
      <c r="A10" t="s">
        <v>1072</v>
      </c>
      <c r="B10">
        <f>IFERROR(VLOOKUP(A10,PRICELIST[],2,FALSE),"Not In The Price List")</f>
        <v>0</v>
      </c>
    </row>
    <row r="11" spans="1:2">
      <c r="A11" t="s">
        <v>1073</v>
      </c>
      <c r="B11">
        <f>IFERROR(VLOOKUP(A11,PRICELIST[],2,FALSE),"Not In The Price List")</f>
        <v>0</v>
      </c>
    </row>
    <row r="12" spans="1:2">
      <c r="A12" t="s">
        <v>1074</v>
      </c>
      <c r="B12">
        <f>IFERROR(VLOOKUP(A12,PRICELIST[],2,FALSE),"Not In The Price List")</f>
        <v>0</v>
      </c>
    </row>
    <row r="13" spans="1:2">
      <c r="A13" t="s">
        <v>1075</v>
      </c>
      <c r="B13">
        <f>IFERROR(VLOOKUP(A13,PRICELIST[],2,FALSE),"Not In The Price List")</f>
        <v>0</v>
      </c>
    </row>
    <row r="14" spans="1:2">
      <c r="A14" t="s">
        <v>1076</v>
      </c>
      <c r="B14">
        <f>IFERROR(VLOOKUP(A14,PRICELIST[],2,FALSE),"Not In The Price List")</f>
        <v>0</v>
      </c>
    </row>
    <row r="15" spans="1:2">
      <c r="A15" t="s">
        <v>1077</v>
      </c>
      <c r="B15">
        <f>IFERROR(VLOOKUP(A15,PRICELIST[],2,FALSE),"Not In The Price List")</f>
        <v>0</v>
      </c>
    </row>
    <row r="16" spans="1:2">
      <c r="A16" t="s">
        <v>1078</v>
      </c>
      <c r="B16">
        <f>IFERROR(VLOOKUP(A16,PRICELIST[],2,FALSE),"Not In The Price List")</f>
        <v>0</v>
      </c>
    </row>
    <row r="17" spans="1:2">
      <c r="A17" t="s">
        <v>1079</v>
      </c>
      <c r="B17">
        <f>IFERROR(VLOOKUP(A17,PRICELIST[],2,FALSE),"Not In The Price List")</f>
        <v>0</v>
      </c>
    </row>
    <row r="18" spans="1:2">
      <c r="A18" t="s">
        <v>1080</v>
      </c>
      <c r="B18">
        <f>IFERROR(VLOOKUP(A18,PRICELIST[],2,FALSE),"Not In The Price List")</f>
        <v>0</v>
      </c>
    </row>
    <row r="19" spans="1:2">
      <c r="A19" t="s">
        <v>1081</v>
      </c>
      <c r="B19">
        <f>IFERROR(VLOOKUP(A19,PRICELIST[],2,FALSE),"Not In The Price List")</f>
        <v>0</v>
      </c>
    </row>
    <row r="20" spans="1:2">
      <c r="A20" t="s">
        <v>1082</v>
      </c>
      <c r="B20">
        <f>IFERROR(VLOOKUP(A20,PRICELIST[],2,FALSE),"Not In The Price List")</f>
        <v>0</v>
      </c>
    </row>
    <row r="21" spans="1:2">
      <c r="A21" t="s">
        <v>1083</v>
      </c>
      <c r="B21">
        <f>IFERROR(VLOOKUP(A21,PRICELIST[],2,FALSE),"Not In The Price List")</f>
        <v>0</v>
      </c>
    </row>
    <row r="22" spans="1:2">
      <c r="A22" t="s">
        <v>1084</v>
      </c>
      <c r="B22">
        <f>IFERROR(VLOOKUP(A22,PRICELIST[],2,FALSE),"Not In The Price List")</f>
        <v>0</v>
      </c>
    </row>
    <row r="23" spans="1:2">
      <c r="A23" t="s">
        <v>1085</v>
      </c>
      <c r="B23">
        <f>IFERROR(VLOOKUP(A23,PRICELIST[],2,FALSE),"Not In The Price List")</f>
        <v>0</v>
      </c>
    </row>
    <row r="24" spans="1:2">
      <c r="A24" t="s">
        <v>1080</v>
      </c>
      <c r="B24">
        <f>IFERROR(VLOOKUP(A24,PRICELIST[],2,FALSE),"Not In The Price List")</f>
        <v>0</v>
      </c>
    </row>
    <row r="25" spans="1:2">
      <c r="A25" t="s">
        <v>1081</v>
      </c>
      <c r="B25">
        <f>IFERROR(VLOOKUP(A25,PRICELIST[],2,FALSE),"Not In The Price List")</f>
        <v>0</v>
      </c>
    </row>
    <row r="26" spans="1:2">
      <c r="A26" t="s">
        <v>1082</v>
      </c>
      <c r="B26">
        <f>IFERROR(VLOOKUP(A26,PRICELIST[],2,FALSE),"Not In The Price List")</f>
        <v>0</v>
      </c>
    </row>
    <row r="27" spans="1:2">
      <c r="A27" t="s">
        <v>1083</v>
      </c>
      <c r="B27">
        <f>IFERROR(VLOOKUP(A27,PRICELIST[],2,FALSE),"Not In The Price List")</f>
        <v>0</v>
      </c>
    </row>
    <row r="28" spans="1:2">
      <c r="A28" t="s">
        <v>1084</v>
      </c>
      <c r="B28">
        <f>IFERROR(VLOOKUP(A28,PRICELIST[],2,FALSE),"Not In The Price List")</f>
        <v>0</v>
      </c>
    </row>
    <row r="29" spans="1:2">
      <c r="A29" t="s">
        <v>1086</v>
      </c>
      <c r="B29">
        <f>IFERROR(VLOOKUP(A29,PRICELIST[],2,FALSE),"Not In The Price List")</f>
        <v>0</v>
      </c>
    </row>
    <row r="31" spans="1:2">
      <c r="A31" t="s">
        <v>1090</v>
      </c>
    </row>
    <row r="32" spans="1:2">
      <c r="A32" t="s">
        <v>1091</v>
      </c>
    </row>
    <row r="33" spans="1:1">
      <c r="A33" t="s">
        <v>1092</v>
      </c>
    </row>
    <row r="34" spans="1:1">
      <c r="A34" t="s">
        <v>1093</v>
      </c>
    </row>
    <row r="35" spans="1:1">
      <c r="A35" t="s">
        <v>1094</v>
      </c>
    </row>
    <row r="36" spans="1:1">
      <c r="A36" t="s">
        <v>1095</v>
      </c>
    </row>
    <row r="37" spans="1:1">
      <c r="A37" t="s">
        <v>1096</v>
      </c>
    </row>
    <row r="38" spans="1:1">
      <c r="A38" t="s">
        <v>1097</v>
      </c>
    </row>
    <row r="39" spans="1:1">
      <c r="A39" t="s">
        <v>1098</v>
      </c>
    </row>
    <row r="40" spans="1:1">
      <c r="A40" t="s">
        <v>1099</v>
      </c>
    </row>
    <row r="41" spans="1:1">
      <c r="A41" t="s">
        <v>1100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QUOTE</vt:lpstr>
      <vt:lpstr>INVOICE</vt:lpstr>
      <vt:lpstr>DATA</vt:lpstr>
      <vt:lpstr>SEARCH</vt:lpstr>
      <vt:lpstr>SAVED</vt:lpstr>
      <vt:lpstr>ITEMS LIST</vt:lpstr>
      <vt:lpstr>COMPANYNAMES</vt:lpstr>
      <vt:lpstr>INVOICE!Print_Area</vt:lpstr>
      <vt:lpstr>QUOTE!Print_Area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2025-06-25T11:47:44Z</dcterms:modified>
</cp:coreProperties>
</file>